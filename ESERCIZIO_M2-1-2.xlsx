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uli\Desktop\Compiti Epicode\Compiti da consegnare\"/>
    </mc:Choice>
  </mc:AlternateContent>
  <xr:revisionPtr revIDLastSave="0" documentId="13_ncr:1_{9B78FC49-8501-45F0-A777-0E29A0DEACD7}" xr6:coauthVersionLast="47" xr6:coauthVersionMax="47" xr10:uidLastSave="{00000000-0000-0000-0000-000000000000}"/>
  <bookViews>
    <workbookView xWindow="9510" yWindow="0" windowWidth="9780" windowHeight="1089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E3" i="2"/>
  <c r="E4" i="2"/>
  <c r="E5" i="2"/>
  <c r="E6" i="2"/>
  <c r="D2" i="2" a="1"/>
  <c r="D2" i="2" s="1"/>
  <c r="E2" i="2" s="1"/>
  <c r="D3" i="1" a="1"/>
  <c r="D3" i="1" s="1"/>
  <c r="D4" i="1" a="1"/>
  <c r="D4" i="1"/>
  <c r="D5" i="1" a="1"/>
  <c r="D5" i="1" s="1"/>
  <c r="D6" i="1" a="1"/>
  <c r="D6" i="1" s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 s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 s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 s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2" i="1" a="1"/>
  <c r="D2" i="1"/>
  <c r="E3" i="1"/>
  <c r="E4" i="1"/>
  <c r="E5" i="1"/>
  <c r="E6" i="1"/>
  <c r="E7" i="1"/>
  <c r="C7" i="1" s="1" a="1"/>
  <c r="C7" i="1" s="1"/>
  <c r="E8" i="1"/>
  <c r="E9" i="1"/>
  <c r="E10" i="1"/>
  <c r="E11" i="1"/>
  <c r="E12" i="1"/>
  <c r="C12" i="1" s="1" a="1"/>
  <c r="C12" i="1" s="1"/>
  <c r="E13" i="1"/>
  <c r="C13" i="1" s="1" a="1"/>
  <c r="C13" i="1" s="1"/>
  <c r="E14" i="1"/>
  <c r="C14" i="1" s="1" a="1"/>
  <c r="C14" i="1" s="1"/>
  <c r="E15" i="1"/>
  <c r="E16" i="1"/>
  <c r="E17" i="1"/>
  <c r="E18" i="1"/>
  <c r="E19" i="1"/>
  <c r="C19" i="1" s="1" a="1"/>
  <c r="C19" i="1" s="1"/>
  <c r="E20" i="1"/>
  <c r="E21" i="1"/>
  <c r="E22" i="1"/>
  <c r="E23" i="1"/>
  <c r="E24" i="1"/>
  <c r="C24" i="1" s="1" a="1"/>
  <c r="C24" i="1" s="1"/>
  <c r="E25" i="1"/>
  <c r="C25" i="1" s="1" a="1"/>
  <c r="C25" i="1" s="1"/>
  <c r="E26" i="1"/>
  <c r="E27" i="1"/>
  <c r="E28" i="1"/>
  <c r="E29" i="1"/>
  <c r="E30" i="1"/>
  <c r="E31" i="1"/>
  <c r="E32" i="1"/>
  <c r="E33" i="1"/>
  <c r="E34" i="1"/>
  <c r="E35" i="1"/>
  <c r="E36" i="1"/>
  <c r="C36" i="1" s="1" a="1"/>
  <c r="C36" i="1" s="1"/>
  <c r="E37" i="1"/>
  <c r="C37" i="1" s="1" a="1"/>
  <c r="C37" i="1" s="1"/>
  <c r="E38" i="1"/>
  <c r="C38" i="1" s="1" a="1"/>
  <c r="C38" i="1" s="1"/>
  <c r="E39" i="1"/>
  <c r="E40" i="1"/>
  <c r="E41" i="1"/>
  <c r="E42" i="1"/>
  <c r="E43" i="1"/>
  <c r="C43" i="1" s="1" a="1"/>
  <c r="C43" i="1" s="1"/>
  <c r="E44" i="1"/>
  <c r="E45" i="1"/>
  <c r="E46" i="1"/>
  <c r="E47" i="1"/>
  <c r="E48" i="1"/>
  <c r="C48" i="1" s="1" a="1"/>
  <c r="C48" i="1" s="1"/>
  <c r="E49" i="1"/>
  <c r="C49" i="1" s="1" a="1"/>
  <c r="C49" i="1" s="1"/>
  <c r="E50" i="1"/>
  <c r="C50" i="1" s="1" a="1"/>
  <c r="C50" i="1" s="1"/>
  <c r="E51" i="1"/>
  <c r="E52" i="1"/>
  <c r="E53" i="1"/>
  <c r="E54" i="1"/>
  <c r="E55" i="1"/>
  <c r="C55" i="1" s="1" a="1"/>
  <c r="C55" i="1" s="1"/>
  <c r="E56" i="1"/>
  <c r="E57" i="1"/>
  <c r="E58" i="1"/>
  <c r="E59" i="1"/>
  <c r="E60" i="1"/>
  <c r="C60" i="1" s="1" a="1"/>
  <c r="C60" i="1" s="1"/>
  <c r="E61" i="1"/>
  <c r="C61" i="1" s="1" a="1"/>
  <c r="C61" i="1" s="1"/>
  <c r="E62" i="1"/>
  <c r="E63" i="1"/>
  <c r="E64" i="1"/>
  <c r="E65" i="1"/>
  <c r="E66" i="1"/>
  <c r="E67" i="1"/>
  <c r="E68" i="1"/>
  <c r="E69" i="1"/>
  <c r="E70" i="1"/>
  <c r="E71" i="1"/>
  <c r="E72" i="1"/>
  <c r="C72" i="1" s="1" a="1"/>
  <c r="C72" i="1" s="1"/>
  <c r="E73" i="1"/>
  <c r="C73" i="1" s="1" a="1"/>
  <c r="C73" i="1" s="1"/>
  <c r="E74" i="1"/>
  <c r="C74" i="1" s="1" a="1"/>
  <c r="C74" i="1" s="1"/>
  <c r="E75" i="1"/>
  <c r="E76" i="1"/>
  <c r="E77" i="1"/>
  <c r="E78" i="1"/>
  <c r="E79" i="1"/>
  <c r="C79" i="1" s="1" a="1"/>
  <c r="C79" i="1" s="1"/>
  <c r="E80" i="1"/>
  <c r="E81" i="1"/>
  <c r="C81" i="1" s="1" a="1"/>
  <c r="C81" i="1" s="1"/>
  <c r="E82" i="1"/>
  <c r="E83" i="1"/>
  <c r="E84" i="1"/>
  <c r="E85" i="1"/>
  <c r="C85" i="1" s="1" a="1"/>
  <c r="C85" i="1" s="1"/>
  <c r="E86" i="1"/>
  <c r="C86" i="1" s="1" a="1"/>
  <c r="C86" i="1" s="1"/>
  <c r="E87" i="1"/>
  <c r="E88" i="1"/>
  <c r="E89" i="1"/>
  <c r="E90" i="1"/>
  <c r="E91" i="1"/>
  <c r="C91" i="1" s="1" a="1"/>
  <c r="C91" i="1" s="1"/>
  <c r="E92" i="1"/>
  <c r="E93" i="1"/>
  <c r="E94" i="1"/>
  <c r="E95" i="1"/>
  <c r="E96" i="1"/>
  <c r="C96" i="1" s="1" a="1"/>
  <c r="C96" i="1" s="1"/>
  <c r="E97" i="1"/>
  <c r="C97" i="1" s="1" a="1"/>
  <c r="C97" i="1" s="1"/>
  <c r="E98" i="1"/>
  <c r="C98" i="1" s="1" a="1"/>
  <c r="C98" i="1" s="1"/>
  <c r="E99" i="1"/>
  <c r="E100" i="1"/>
  <c r="E101" i="1"/>
  <c r="C5" i="1" a="1"/>
  <c r="C5" i="1" s="1"/>
  <c r="C9" i="1" a="1"/>
  <c r="C9" i="1" s="1"/>
  <c r="C10" i="1" a="1"/>
  <c r="C10" i="1" s="1"/>
  <c r="C11" i="1" a="1"/>
  <c r="C11" i="1" s="1"/>
  <c r="C3" i="1" a="1"/>
  <c r="C3" i="1" s="1"/>
  <c r="C4" i="1" a="1"/>
  <c r="C4" i="1" s="1"/>
  <c r="C6" i="1" a="1"/>
  <c r="C6" i="1" s="1"/>
  <c r="C8" i="1" a="1"/>
  <c r="C8" i="1" s="1"/>
  <c r="C15" i="1" a="1"/>
  <c r="C15" i="1" s="1"/>
  <c r="C16" i="1" a="1"/>
  <c r="C16" i="1" s="1"/>
  <c r="C17" i="1" a="1"/>
  <c r="C17" i="1" s="1"/>
  <c r="C18" i="1" a="1"/>
  <c r="C18" i="1"/>
  <c r="C20" i="1" a="1"/>
  <c r="C20" i="1" s="1"/>
  <c r="C21" i="1" a="1"/>
  <c r="C21" i="1" s="1"/>
  <c r="C22" i="1" a="1"/>
  <c r="C22" i="1" s="1"/>
  <c r="C23" i="1" a="1"/>
  <c r="C23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9" i="1" a="1"/>
  <c r="C39" i="1" s="1"/>
  <c r="C40" i="1" a="1"/>
  <c r="C40" i="1" s="1"/>
  <c r="C41" i="1" a="1"/>
  <c r="C41" i="1" s="1"/>
  <c r="C42" i="1" a="1"/>
  <c r="C42" i="1"/>
  <c r="C44" i="1" a="1"/>
  <c r="C44" i="1"/>
  <c r="C45" i="1" a="1"/>
  <c r="C45" i="1" s="1"/>
  <c r="C46" i="1" a="1"/>
  <c r="C46" i="1" s="1"/>
  <c r="C47" i="1" a="1"/>
  <c r="C47" i="1" s="1"/>
  <c r="C51" i="1" a="1"/>
  <c r="C51" i="1" s="1"/>
  <c r="C52" i="1" a="1"/>
  <c r="C52" i="1" s="1"/>
  <c r="C53" i="1" a="1"/>
  <c r="C53" i="1" s="1"/>
  <c r="C54" i="1" a="1"/>
  <c r="C54" i="1" s="1"/>
  <c r="C56" i="1" a="1"/>
  <c r="C56" i="1" s="1"/>
  <c r="C57" i="1" a="1"/>
  <c r="C57" i="1" s="1"/>
  <c r="C58" i="1" a="1"/>
  <c r="C58" i="1" s="1"/>
  <c r="C59" i="1" a="1"/>
  <c r="C59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/>
  <c r="C69" i="1" a="1"/>
  <c r="C69" i="1" s="1"/>
  <c r="C70" i="1" a="1"/>
  <c r="C70" i="1" s="1"/>
  <c r="C71" i="1" a="1"/>
  <c r="C71" i="1" s="1"/>
  <c r="C75" i="1" a="1"/>
  <c r="C75" i="1" s="1"/>
  <c r="C76" i="1" a="1"/>
  <c r="C76" i="1" s="1"/>
  <c r="C77" i="1" a="1"/>
  <c r="C77" i="1" s="1"/>
  <c r="C78" i="1" a="1"/>
  <c r="C78" i="1"/>
  <c r="C80" i="1" a="1"/>
  <c r="C80" i="1"/>
  <c r="C82" i="1" a="1"/>
  <c r="C82" i="1" s="1"/>
  <c r="C83" i="1" a="1"/>
  <c r="C83" i="1" s="1"/>
  <c r="C84" i="1" a="1"/>
  <c r="C84" i="1" s="1"/>
  <c r="C87" i="1" a="1"/>
  <c r="C87" i="1" s="1"/>
  <c r="C88" i="1" a="1"/>
  <c r="C88" i="1" s="1"/>
  <c r="C89" i="1" a="1"/>
  <c r="C89" i="1" s="1"/>
  <c r="C90" i="1" a="1"/>
  <c r="C90" i="1"/>
  <c r="C92" i="1" a="1"/>
  <c r="C92" i="1"/>
  <c r="C93" i="1" a="1"/>
  <c r="C93" i="1" s="1"/>
  <c r="C94" i="1" a="1"/>
  <c r="C94" i="1" s="1"/>
  <c r="C95" i="1" a="1"/>
  <c r="C95" i="1" s="1"/>
  <c r="C99" i="1" a="1"/>
  <c r="C99" i="1" s="1"/>
  <c r="C100" i="1" a="1"/>
  <c r="C100" i="1" s="1"/>
  <c r="C101" i="1" a="1"/>
  <c r="C101" i="1" s="1"/>
  <c r="C2" i="1" a="1"/>
  <c r="C2" i="1" s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<sst xmlns="http://schemas.openxmlformats.org/spreadsheetml/2006/main" count="161" uniqueCount="116">
  <si>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</si>
  <si>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</si>
  <si>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</si>
  <si>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</si>
  <si>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</si>
  <si>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</si>
  <si>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</si>
  <si>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</si>
  <si>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</si>
  <si>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</si>
  <si>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</si>
  <si>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</si>
  <si>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</si>
  <si>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</si>
  <si>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</si>
  <si>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</si>
  <si>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</si>
  <si>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</si>
  <si>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</si>
  <si>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</si>
  <si>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</si>
  <si>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</si>
  <si>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</si>
  <si>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</si>
  <si>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</si>
  <si>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</si>
  <si>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</si>
  <si>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</si>
  <si>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</si>
  <si>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</si>
  <si>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</si>
  <si>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</si>
  <si>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</si>
  <si>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</si>
  <si>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</si>
  <si>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</si>
  <si>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</si>
  <si>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</si>
  <si>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</si>
  <si>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</si>
  <si>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</si>
  <si>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</si>
  <si>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</si>
  <si>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</si>
  <si>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</si>
  <si>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</si>
  <si>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</si>
  <si>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</si>
  <si>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</si>
  <si>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</si>
  <si>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</si>
  <si>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</si>
  <si>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</si>
  <si>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</si>
  <si>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</si>
  <si>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</si>
  <si>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</si>
  <si>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</si>
  <si>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</si>
  <si>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</si>
  <si>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</si>
  <si>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</si>
  <si>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</si>
  <si>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</si>
  <si>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</si>
  <si>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</si>
  <si>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</si>
  <si>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</si>
  <si>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</si>
  <si>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</si>
  <si>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</si>
  <si>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</si>
  <si>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</si>
  <si>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</si>
  <si>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</si>
  <si>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</si>
  <si>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</si>
  <si>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</si>
  <si>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</si>
  <si>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</si>
  <si>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</si>
  <si>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</si>
  <si>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</si>
  <si>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</si>
  <si>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</si>
  <si>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</si>
  <si>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</si>
  <si>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</si>
  <si>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</si>
  <si>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</si>
  <si>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</si>
  <si>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</si>
  <si>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</si>
  <si>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</si>
  <si>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</si>
  <si>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</si>
  <si>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</si>
  <si>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</si>
  <si>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</si>
  <si>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</si>
  <si>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</si>
  <si>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</si>
  <si>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</si>
  <si>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</si>
  <si>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</si>
  <si>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</si>
  <si>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</si>
  <si>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</si>
  <si>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</si>
  <si>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</si>
  <si>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INIZIALE TARGA</t>
  </si>
  <si>
    <t>TIPOLOGIA</t>
  </si>
  <si>
    <t>ORA</t>
  </si>
  <si>
    <t>CATEGORIE</t>
  </si>
  <si>
    <t>N. RIPETIZIONI</t>
  </si>
  <si>
    <t>Costo tot.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</si>
</sst>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44" fontId="0" fillId="0" borderId="0" xfId="1" applyFont="1"/>
    <xf numFmtId="0" fontId="1" fillId="3" borderId="0" xfId="0" applyFont="1" applyFill="1"/>
    <xf numFmtId="2" fontId="2" fillId="0" borderId="0" xfId="0" applyNumberFormat="1" applyFont="1"/>
    <xf numFmtId="0" fontId="1" fillId="4" borderId="0" xfId="0" applyFont="1" applyFill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opLeftCell="B1" workbookViewId="0">
      <selection activeCell="C12" sqref="C12"/>
    </sheetView>
  </sheetViews>
  <sheetFormatPr defaultColWidth="12.6328125" defaultRowHeight="15.75" customHeight="1" x14ac:dyDescent="0.25"/>
  <cols>
    <col min="2" max="2" width="25.36328125" customWidth="1"/>
    <col min="3" max="3" width="21.90625" customWidth="1"/>
    <col min="4" max="4" width="17.453125" customWidth="1"/>
    <col min="5" max="5" width="17.36328125" customWidth="1"/>
  </cols>
  <sheetData>
    <row r="1" spans="1:26" ht="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110</v>
      </c>
      <c r="F1" s="3" t="s">
        <v>111</v>
      </c>
      <c r="G1" s="3" t="s">
        <v>3</v>
      </c>
      <c r="H1" s="3" t="s">
        <v>112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4</v>
      </c>
      <c r="B2" s="7">
        <v>1.5</v>
      </c>
      <c r="C2" s="4" cm="1">
        <f t="array" ref="C2">_xlfn.IFS(E2&lt;="F",0,E2&lt;="M",1,E2&lt;="Z",2)</f>
        <v>0</v>
      </c>
      <c r="D2" s="5" cm="1">
        <f t="array" ref="D2">_xlfn.IFS(C2=$F$2,$G$2*(B2/$H$2),C2=$F$3,$G$2*(B2/$H$3),C2=$F$4,$G$2*(B2/$H$4))</f>
        <v>6</v>
      </c>
      <c r="E2" t="str">
        <f>LEFT(A2,1)</f>
        <v>A</v>
      </c>
      <c r="F2">
        <v>0</v>
      </c>
      <c r="G2" s="5">
        <v>2</v>
      </c>
      <c r="H2">
        <v>0.5</v>
      </c>
    </row>
    <row r="3" spans="1:26" ht="15.75" customHeight="1" x14ac:dyDescent="0.25">
      <c r="A3" s="2" t="s">
        <v>5</v>
      </c>
      <c r="B3" s="7">
        <v>2.5</v>
      </c>
      <c r="C3" s="4" cm="1">
        <f t="array" ref="C3">_xlfn.IFS(E3&lt;="F",0,E3&lt;="M",1,E3&lt;="Z",2)</f>
        <v>1</v>
      </c>
      <c r="D3" s="5" cm="1">
        <f t="array" ref="D3">_xlfn.IFS(C3=$F$2,$G$2*(B3/$H$2),C3=$F$3,$G$2*(B3/$H$3),C3=$F$4,$G$2*(B3/$H$4))</f>
        <v>10</v>
      </c>
      <c r="E3" t="str">
        <f t="shared" ref="E3:E66" si="0">LEFT(A3,1)</f>
        <v>L</v>
      </c>
      <c r="F3">
        <v>1</v>
      </c>
      <c r="G3" s="5">
        <v>1.5</v>
      </c>
      <c r="H3">
        <v>0.5</v>
      </c>
    </row>
    <row r="4" spans="1:26" ht="15.75" customHeight="1" x14ac:dyDescent="0.25">
      <c r="A4" s="2" t="s">
        <v>6</v>
      </c>
      <c r="B4" s="7">
        <v>3.5</v>
      </c>
      <c r="C4" s="4" cm="1">
        <f t="array" ref="C4">_xlfn.IFS(E4&lt;="F",0,E4&lt;="M",1,E4&lt;="Z",2)</f>
        <v>2</v>
      </c>
      <c r="D4" s="5" cm="1">
        <f t="array" ref="D4">_xlfn.IFS(C4=$F$2,$G$2*(B4/$H$2),C4=$F$3,$G$2*(B4/$H$3),C4=$F$4,$G$2*(B4/$H$4))</f>
        <v>7</v>
      </c>
      <c r="E4" t="str">
        <f t="shared" si="0"/>
        <v>P</v>
      </c>
      <c r="F4">
        <v>2</v>
      </c>
      <c r="G4" s="5">
        <v>2</v>
      </c>
      <c r="H4">
        <v>1</v>
      </c>
    </row>
    <row r="5" spans="1:26" ht="15.75" customHeight="1" x14ac:dyDescent="0.25">
      <c r="A5" s="2" t="s">
        <v>7</v>
      </c>
      <c r="B5" s="7">
        <v>4.5</v>
      </c>
      <c r="C5" s="4" cm="1">
        <f t="array" ref="C5">_xlfn.IFS(E5&lt;="F",0,E5&lt;="M",1,E5&lt;="Z",2)</f>
        <v>2</v>
      </c>
      <c r="D5" s="5" cm="1">
        <f t="array" ref="D5">_xlfn.IFS(C5=$F$2,$G$2*(B5/$H$2),C5=$F$3,$G$2*(B5/$H$3),C5=$F$4,$G$2*(B5/$H$4))</f>
        <v>9</v>
      </c>
      <c r="E5" t="str">
        <f t="shared" si="0"/>
        <v>U</v>
      </c>
    </row>
    <row r="6" spans="1:26" ht="15.75" customHeight="1" x14ac:dyDescent="0.25">
      <c r="A6" s="2" t="s">
        <v>8</v>
      </c>
      <c r="B6" s="7">
        <v>5.5</v>
      </c>
      <c r="C6" s="4" cm="1">
        <f t="array" ref="C6">_xlfn.IFS(E6&lt;="F",0,E6&lt;="M",1,E6&lt;="Z",2)</f>
        <v>2</v>
      </c>
      <c r="D6" s="5" cm="1">
        <f t="array" ref="D6">_xlfn.IFS(C6=$F$2,$G$2*(B6/$H$2),C6=$F$3,$G$2*(B6/$H$3),C6=$F$4,$G$2*(B6/$H$4))</f>
        <v>11</v>
      </c>
      <c r="E6" t="str">
        <f t="shared" si="0"/>
        <v>W</v>
      </c>
    </row>
    <row r="7" spans="1:26" ht="15.75" customHeight="1" x14ac:dyDescent="0.25">
      <c r="A7" s="2" t="s">
        <v>9</v>
      </c>
      <c r="B7" s="7">
        <v>6.5</v>
      </c>
      <c r="C7" s="4" cm="1">
        <f t="array" ref="C7">_xlfn.IFS(E7&lt;="F",0,E7&lt;="M",1,E7&lt;="Z",2)</f>
        <v>2</v>
      </c>
      <c r="D7" s="5" cm="1">
        <f t="array" ref="D7">_xlfn.IFS(C7=$F$2,$G$2*(B7/$H$2),C7=$F$3,$G$2*(B7/$H$3),C7=$F$4,$G$2*(B7/$H$4))</f>
        <v>13</v>
      </c>
      <c r="E7" t="str">
        <f t="shared" si="0"/>
        <v>Y</v>
      </c>
    </row>
    <row r="8" spans="1:26" ht="15.75" customHeight="1" x14ac:dyDescent="0.25">
      <c r="A8" s="2" t="s">
        <v>10</v>
      </c>
      <c r="B8" s="7">
        <v>7.5</v>
      </c>
      <c r="C8" s="4" cm="1">
        <f t="array" ref="C8">_xlfn.IFS(E8&lt;="F",0,E8&lt;="M",1,E8&lt;="Z",2)</f>
        <v>0</v>
      </c>
      <c r="D8" s="5" cm="1">
        <f t="array" ref="D8">_xlfn.IFS(C8=$F$2,$G$2*(B8/$H$2),C8=$F$3,$G$2*(B8/$H$3),C8=$F$4,$G$2*(B8/$H$4))</f>
        <v>30</v>
      </c>
      <c r="E8" t="str">
        <f t="shared" si="0"/>
        <v>A</v>
      </c>
    </row>
    <row r="9" spans="1:26" ht="15.75" customHeight="1" x14ac:dyDescent="0.25">
      <c r="A9" s="2" t="s">
        <v>11</v>
      </c>
      <c r="B9" s="7">
        <v>8.5</v>
      </c>
      <c r="C9" s="4" cm="1">
        <f t="array" ref="C9">_xlfn.IFS(E9&lt;="F",0,E9&lt;="M",1,E9&lt;="Z",2)</f>
        <v>0</v>
      </c>
      <c r="D9" s="5" cm="1">
        <f t="array" ref="D9">_xlfn.IFS(C9=$F$2,$G$2*(B9/$H$2),C9=$F$3,$G$2*(B9/$H$3),C9=$F$4,$G$2*(B9/$H$4))</f>
        <v>34</v>
      </c>
      <c r="E9" t="str">
        <f t="shared" si="0"/>
        <v>C</v>
      </c>
    </row>
    <row r="10" spans="1:26" ht="15.75" customHeight="1" x14ac:dyDescent="0.25">
      <c r="A10" s="2" t="s">
        <v>12</v>
      </c>
      <c r="B10" s="7">
        <v>9.5</v>
      </c>
      <c r="C10" s="4" cm="1">
        <f t="array" ref="C10">_xlfn.IFS(E10&lt;="F",0,E10&lt;="M",1,E10&lt;="Z",2)</f>
        <v>0</v>
      </c>
      <c r="D10" s="5" cm="1">
        <f t="array" ref="D10">_xlfn.IFS(C10=$F$2,$G$2*(B10/$H$2),C10=$F$3,$G$2*(B10/$H$3),C10=$F$4,$G$2*(B10/$H$4))</f>
        <v>38</v>
      </c>
      <c r="E10" t="str">
        <f t="shared" si="0"/>
        <v>E</v>
      </c>
    </row>
    <row r="11" spans="1:26" ht="15.75" customHeight="1" x14ac:dyDescent="0.25">
      <c r="A11" s="2" t="s">
        <v>13</v>
      </c>
      <c r="B11" s="7">
        <v>10</v>
      </c>
      <c r="C11" s="4" cm="1">
        <f t="array" ref="C11">_xlfn.IFS(E11&lt;="F",0,E11&lt;="M",1,E11&lt;="Z",2)</f>
        <v>1</v>
      </c>
      <c r="D11" s="5" cm="1">
        <f t="array" ref="D11">_xlfn.IFS(C11=$F$2,$G$2*(B11/$H$2),C11=$F$3,$G$2*(B11/$H$3),C11=$F$4,$G$2*(B11/$H$4))</f>
        <v>40</v>
      </c>
      <c r="E11" t="str">
        <f t="shared" si="0"/>
        <v>G</v>
      </c>
    </row>
    <row r="12" spans="1:26" ht="15.75" customHeight="1" x14ac:dyDescent="0.25">
      <c r="A12" s="2" t="s">
        <v>14</v>
      </c>
      <c r="B12" s="7">
        <v>0.5</v>
      </c>
      <c r="C12" s="4" cm="1">
        <f t="array" ref="C12">_xlfn.IFS(E12&lt;="F",0,E12&lt;="M",1,E12&lt;="Z",2)</f>
        <v>1</v>
      </c>
      <c r="D12" s="5" cm="1">
        <f t="array" ref="D12">_xlfn.IFS(C12=$F$2,$G$2*(B12/$H$2),C12=$F$3,$G$2*(B12/$H$3),C12=$F$4,$G$2*(B12/$H$4))</f>
        <v>2</v>
      </c>
      <c r="E12" t="str">
        <f t="shared" si="0"/>
        <v>I</v>
      </c>
    </row>
    <row r="13" spans="1:26" ht="15.75" customHeight="1" x14ac:dyDescent="0.25">
      <c r="A13" s="2" t="s">
        <v>15</v>
      </c>
      <c r="B13" s="7">
        <v>1</v>
      </c>
      <c r="C13" s="4" cm="1">
        <f t="array" ref="C13">_xlfn.IFS(E13&lt;="F",0,E13&lt;="M",1,E13&lt;="Z",2)</f>
        <v>1</v>
      </c>
      <c r="D13" s="5" cm="1">
        <f t="array" ref="D13">_xlfn.IFS(C13=$F$2,$G$2*(B13/$H$2),C13=$F$3,$G$2*(B13/$H$3),C13=$F$4,$G$2*(B13/$H$4))</f>
        <v>4</v>
      </c>
      <c r="E13" t="str">
        <f t="shared" si="0"/>
        <v>K</v>
      </c>
    </row>
    <row r="14" spans="1:26" ht="15.75" customHeight="1" x14ac:dyDescent="0.25">
      <c r="A14" s="2" t="s">
        <v>16</v>
      </c>
      <c r="B14" s="7">
        <v>2</v>
      </c>
      <c r="C14" s="4" cm="1">
        <f t="array" ref="C14">_xlfn.IFS(E14&lt;="F",0,E14&lt;="M",1,E14&lt;="Z",2)</f>
        <v>1</v>
      </c>
      <c r="D14" s="5" cm="1">
        <f t="array" ref="D14">_xlfn.IFS(C14=$F$2,$G$2*(B14/$H$2),C14=$F$3,$G$2*(B14/$H$3),C14=$F$4,$G$2*(B14/$H$4))</f>
        <v>8</v>
      </c>
      <c r="E14" t="str">
        <f t="shared" si="0"/>
        <v>M</v>
      </c>
    </row>
    <row r="15" spans="1:26" ht="15.75" customHeight="1" x14ac:dyDescent="0.25">
      <c r="A15" s="2" t="s">
        <v>17</v>
      </c>
      <c r="B15" s="7">
        <v>3</v>
      </c>
      <c r="C15" s="4" cm="1">
        <f t="array" ref="C15">_xlfn.IFS(E15&lt;="F",0,E15&lt;="M",1,E15&lt;="Z",2)</f>
        <v>2</v>
      </c>
      <c r="D15" s="5" cm="1">
        <f t="array" ref="D15">_xlfn.IFS(C15=$F$2,$G$2*(B15/$H$2),C15=$F$3,$G$2*(B15/$H$3),C15=$F$4,$G$2*(B15/$H$4))</f>
        <v>6</v>
      </c>
      <c r="E15" t="str">
        <f t="shared" si="0"/>
        <v>O</v>
      </c>
    </row>
    <row r="16" spans="1:26" ht="15.75" customHeight="1" x14ac:dyDescent="0.25">
      <c r="A16" s="2" t="s">
        <v>18</v>
      </c>
      <c r="B16" s="7">
        <v>4</v>
      </c>
      <c r="C16" s="4" cm="1">
        <f t="array" ref="C16">_xlfn.IFS(E16&lt;="F",0,E16&lt;="M",1,E16&lt;="Z",2)</f>
        <v>2</v>
      </c>
      <c r="D16" s="5" cm="1">
        <f t="array" ref="D16">_xlfn.IFS(C16=$F$2,$G$2*(B16/$H$2),C16=$F$3,$G$2*(B16/$H$3),C16=$F$4,$G$2*(B16/$H$4))</f>
        <v>8</v>
      </c>
      <c r="E16" t="str">
        <f t="shared" si="0"/>
        <v>Q</v>
      </c>
    </row>
    <row r="17" spans="1:5" ht="15.75" customHeight="1" x14ac:dyDescent="0.25">
      <c r="A17" s="2" t="s">
        <v>19</v>
      </c>
      <c r="B17" s="7">
        <v>5</v>
      </c>
      <c r="C17" s="4" cm="1">
        <f t="array" ref="C17">_xlfn.IFS(E17&lt;="F",0,E17&lt;="M",1,E17&lt;="Z",2)</f>
        <v>2</v>
      </c>
      <c r="D17" s="5" cm="1">
        <f t="array" ref="D17">_xlfn.IFS(C17=$F$2,$G$2*(B17/$H$2),C17=$F$3,$G$2*(B17/$H$3),C17=$F$4,$G$2*(B17/$H$4))</f>
        <v>10</v>
      </c>
      <c r="E17" t="str">
        <f t="shared" si="0"/>
        <v>S</v>
      </c>
    </row>
    <row r="18" spans="1:5" ht="15.75" customHeight="1" x14ac:dyDescent="0.25">
      <c r="A18" s="2" t="s">
        <v>20</v>
      </c>
      <c r="B18" s="7">
        <v>6</v>
      </c>
      <c r="C18" s="4" cm="1">
        <f t="array" ref="C18">_xlfn.IFS(E18&lt;="F",0,E18&lt;="M",1,E18&lt;="Z",2)</f>
        <v>2</v>
      </c>
      <c r="D18" s="5" cm="1">
        <f t="array" ref="D18">_xlfn.IFS(C18=$F$2,$G$2*(B18/$H$2),C18=$F$3,$G$2*(B18/$H$3),C18=$F$4,$G$2*(B18/$H$4))</f>
        <v>12</v>
      </c>
      <c r="E18" t="str">
        <f t="shared" si="0"/>
        <v>U</v>
      </c>
    </row>
    <row r="19" spans="1:5" ht="15.75" customHeight="1" x14ac:dyDescent="0.25">
      <c r="A19" s="2" t="s">
        <v>21</v>
      </c>
      <c r="B19" s="7">
        <v>7</v>
      </c>
      <c r="C19" s="4" cm="1">
        <f t="array" ref="C19">_xlfn.IFS(E19&lt;="F",0,E19&lt;="M",1,E19&lt;="Z",2)</f>
        <v>2</v>
      </c>
      <c r="D19" s="5" cm="1">
        <f t="array" ref="D19">_xlfn.IFS(C19=$F$2,$G$2*(B19/$H$2),C19=$F$3,$G$2*(B19/$H$3),C19=$F$4,$G$2*(B19/$H$4))</f>
        <v>14</v>
      </c>
      <c r="E19" t="str">
        <f t="shared" si="0"/>
        <v>W</v>
      </c>
    </row>
    <row r="20" spans="1:5" ht="15.75" customHeight="1" x14ac:dyDescent="0.25">
      <c r="A20" s="2" t="s">
        <v>22</v>
      </c>
      <c r="B20" s="7">
        <v>8</v>
      </c>
      <c r="C20" s="4" cm="1">
        <f t="array" ref="C20">_xlfn.IFS(E20&lt;="F",0,E20&lt;="M",1,E20&lt;="Z",2)</f>
        <v>2</v>
      </c>
      <c r="D20" s="5" cm="1">
        <f t="array" ref="D20">_xlfn.IFS(C20=$F$2,$G$2*(B20/$H$2),C20=$F$3,$G$2*(B20/$H$3),C20=$F$4,$G$2*(B20/$H$4))</f>
        <v>16</v>
      </c>
      <c r="E20" t="str">
        <f t="shared" si="0"/>
        <v>Y</v>
      </c>
    </row>
    <row r="21" spans="1:5" ht="15.75" customHeight="1" x14ac:dyDescent="0.25">
      <c r="A21" s="2" t="s">
        <v>23</v>
      </c>
      <c r="B21" s="7">
        <v>9</v>
      </c>
      <c r="C21" s="4" cm="1">
        <f t="array" ref="C21">_xlfn.IFS(E21&lt;="F",0,E21&lt;="M",1,E21&lt;="Z",2)</f>
        <v>0</v>
      </c>
      <c r="D21" s="5" cm="1">
        <f t="array" ref="D21">_xlfn.IFS(C21=$F$2,$G$2*(B21/$H$2),C21=$F$3,$G$2*(B21/$H$3),C21=$F$4,$G$2*(B21/$H$4))</f>
        <v>36</v>
      </c>
      <c r="E21" t="str">
        <f t="shared" si="0"/>
        <v>A</v>
      </c>
    </row>
    <row r="22" spans="1:5" ht="12.5" x14ac:dyDescent="0.25">
      <c r="A22" s="2" t="s">
        <v>24</v>
      </c>
      <c r="B22" s="7">
        <v>10</v>
      </c>
      <c r="C22" s="4" cm="1">
        <f t="array" ref="C22">_xlfn.IFS(E22&lt;="F",0,E22&lt;="M",1,E22&lt;="Z",2)</f>
        <v>0</v>
      </c>
      <c r="D22" s="5" cm="1">
        <f t="array" ref="D22">_xlfn.IFS(C22=$F$2,$G$2*(B22/$H$2),C22=$F$3,$G$2*(B22/$H$3),C22=$F$4,$G$2*(B22/$H$4))</f>
        <v>40</v>
      </c>
      <c r="E22" t="str">
        <f t="shared" si="0"/>
        <v>C</v>
      </c>
    </row>
    <row r="23" spans="1:5" ht="12.5" x14ac:dyDescent="0.25">
      <c r="A23" s="2" t="s">
        <v>25</v>
      </c>
      <c r="B23" s="7">
        <v>0.5</v>
      </c>
      <c r="C23" s="4" cm="1">
        <f t="array" ref="C23">_xlfn.IFS(E23&lt;="F",0,E23&lt;="M",1,E23&lt;="Z",2)</f>
        <v>0</v>
      </c>
      <c r="D23" s="5" cm="1">
        <f t="array" ref="D23">_xlfn.IFS(C23=$F$2,$G$2*(B23/$H$2),C23=$F$3,$G$2*(B23/$H$3),C23=$F$4,$G$2*(B23/$H$4))</f>
        <v>2</v>
      </c>
      <c r="E23" t="str">
        <f t="shared" si="0"/>
        <v>E</v>
      </c>
    </row>
    <row r="24" spans="1:5" ht="12.5" x14ac:dyDescent="0.25">
      <c r="A24" s="2" t="s">
        <v>26</v>
      </c>
      <c r="B24" s="7">
        <v>1</v>
      </c>
      <c r="C24" s="4" cm="1">
        <f t="array" ref="C24">_xlfn.IFS(E24&lt;="F",0,E24&lt;="M",1,E24&lt;="Z",2)</f>
        <v>1</v>
      </c>
      <c r="D24" s="5" cm="1">
        <f t="array" ref="D24">_xlfn.IFS(C24=$F$2,$G$2*(B24/$H$2),C24=$F$3,$G$2*(B24/$H$3),C24=$F$4,$G$2*(B24/$H$4))</f>
        <v>4</v>
      </c>
      <c r="E24" t="str">
        <f t="shared" si="0"/>
        <v>G</v>
      </c>
    </row>
    <row r="25" spans="1:5" ht="12.5" x14ac:dyDescent="0.25">
      <c r="A25" s="2" t="s">
        <v>27</v>
      </c>
      <c r="B25" s="7">
        <v>2</v>
      </c>
      <c r="C25" s="4" cm="1">
        <f t="array" ref="C25">_xlfn.IFS(E25&lt;="F",0,E25&lt;="M",1,E25&lt;="Z",2)</f>
        <v>1</v>
      </c>
      <c r="D25" s="5" cm="1">
        <f t="array" ref="D25">_xlfn.IFS(C25=$F$2,$G$2*(B25/$H$2),C25=$F$3,$G$2*(B25/$H$3),C25=$F$4,$G$2*(B25/$H$4))</f>
        <v>8</v>
      </c>
      <c r="E25" t="str">
        <f t="shared" si="0"/>
        <v>I</v>
      </c>
    </row>
    <row r="26" spans="1:5" ht="12.5" x14ac:dyDescent="0.25">
      <c r="A26" s="2" t="s">
        <v>28</v>
      </c>
      <c r="B26" s="7">
        <v>3</v>
      </c>
      <c r="C26" s="4" cm="1">
        <f t="array" ref="C26">_xlfn.IFS(E26&lt;="F",0,E26&lt;="M",1,E26&lt;="Z",2)</f>
        <v>1</v>
      </c>
      <c r="D26" s="5" cm="1">
        <f t="array" ref="D26">_xlfn.IFS(C26=$F$2,$G$2*(B26/$H$2),C26=$F$3,$G$2*(B26/$H$3),C26=$F$4,$G$2*(B26/$H$4))</f>
        <v>12</v>
      </c>
      <c r="E26" t="str">
        <f t="shared" si="0"/>
        <v>K</v>
      </c>
    </row>
    <row r="27" spans="1:5" ht="12.5" x14ac:dyDescent="0.25">
      <c r="A27" s="2" t="s">
        <v>29</v>
      </c>
      <c r="B27" s="7">
        <v>4</v>
      </c>
      <c r="C27" s="4" cm="1">
        <f t="array" ref="C27">_xlfn.IFS(E27&lt;="F",0,E27&lt;="M",1,E27&lt;="Z",2)</f>
        <v>1</v>
      </c>
      <c r="D27" s="5" cm="1">
        <f t="array" ref="D27">_xlfn.IFS(C27=$F$2,$G$2*(B27/$H$2),C27=$F$3,$G$2*(B27/$H$3),C27=$F$4,$G$2*(B27/$H$4))</f>
        <v>16</v>
      </c>
      <c r="E27" t="str">
        <f t="shared" si="0"/>
        <v>M</v>
      </c>
    </row>
    <row r="28" spans="1:5" ht="12.5" x14ac:dyDescent="0.25">
      <c r="A28" s="2" t="s">
        <v>30</v>
      </c>
      <c r="B28" s="7">
        <v>5</v>
      </c>
      <c r="C28" s="4" cm="1">
        <f t="array" ref="C28">_xlfn.IFS(E28&lt;="F",0,E28&lt;="M",1,E28&lt;="Z",2)</f>
        <v>2</v>
      </c>
      <c r="D28" s="5" cm="1">
        <f t="array" ref="D28">_xlfn.IFS(C28=$F$2,$G$2*(B28/$H$2),C28=$F$3,$G$2*(B28/$H$3),C28=$F$4,$G$2*(B28/$H$4))</f>
        <v>10</v>
      </c>
      <c r="E28" t="str">
        <f t="shared" si="0"/>
        <v>O</v>
      </c>
    </row>
    <row r="29" spans="1:5" ht="12.5" x14ac:dyDescent="0.25">
      <c r="A29" s="2" t="s">
        <v>31</v>
      </c>
      <c r="B29" s="7">
        <v>6</v>
      </c>
      <c r="C29" s="4" cm="1">
        <f t="array" ref="C29">_xlfn.IFS(E29&lt;="F",0,E29&lt;="M",1,E29&lt;="Z",2)</f>
        <v>2</v>
      </c>
      <c r="D29" s="5" cm="1">
        <f t="array" ref="D29">_xlfn.IFS(C29=$F$2,$G$2*(B29/$H$2),C29=$F$3,$G$2*(B29/$H$3),C29=$F$4,$G$2*(B29/$H$4))</f>
        <v>12</v>
      </c>
      <c r="E29" t="str">
        <f t="shared" si="0"/>
        <v>Q</v>
      </c>
    </row>
    <row r="30" spans="1:5" ht="12.5" x14ac:dyDescent="0.25">
      <c r="A30" s="2" t="s">
        <v>32</v>
      </c>
      <c r="B30" s="7">
        <v>7</v>
      </c>
      <c r="C30" s="4" cm="1">
        <f t="array" ref="C30">_xlfn.IFS(E30&lt;="F",0,E30&lt;="M",1,E30&lt;="Z",2)</f>
        <v>2</v>
      </c>
      <c r="D30" s="5" cm="1">
        <f t="array" ref="D30">_xlfn.IFS(C30=$F$2,$G$2*(B30/$H$2),C30=$F$3,$G$2*(B30/$H$3),C30=$F$4,$G$2*(B30/$H$4))</f>
        <v>14</v>
      </c>
      <c r="E30" t="str">
        <f t="shared" si="0"/>
        <v>S</v>
      </c>
    </row>
    <row r="31" spans="1:5" ht="12.5" x14ac:dyDescent="0.25">
      <c r="A31" s="2" t="s">
        <v>33</v>
      </c>
      <c r="B31" s="7">
        <v>8</v>
      </c>
      <c r="C31" s="4" cm="1">
        <f t="array" ref="C31">_xlfn.IFS(E31&lt;="F",0,E31&lt;="M",1,E31&lt;="Z",2)</f>
        <v>2</v>
      </c>
      <c r="D31" s="5" cm="1">
        <f t="array" ref="D31">_xlfn.IFS(C31=$F$2,$G$2*(B31/$H$2),C31=$F$3,$G$2*(B31/$H$3),C31=$F$4,$G$2*(B31/$H$4))</f>
        <v>16</v>
      </c>
      <c r="E31" t="str">
        <f t="shared" si="0"/>
        <v>U</v>
      </c>
    </row>
    <row r="32" spans="1:5" ht="12.5" x14ac:dyDescent="0.25">
      <c r="A32" s="2" t="s">
        <v>34</v>
      </c>
      <c r="B32" s="7">
        <v>9</v>
      </c>
      <c r="C32" s="4" cm="1">
        <f t="array" ref="C32">_xlfn.IFS(E32&lt;="F",0,E32&lt;="M",1,E32&lt;="Z",2)</f>
        <v>2</v>
      </c>
      <c r="D32" s="5" cm="1">
        <f t="array" ref="D32">_xlfn.IFS(C32=$F$2,$G$2*(B32/$H$2),C32=$F$3,$G$2*(B32/$H$3),C32=$F$4,$G$2*(B32/$H$4))</f>
        <v>18</v>
      </c>
      <c r="E32" t="str">
        <f t="shared" si="0"/>
        <v>W</v>
      </c>
    </row>
    <row r="33" spans="1:5" ht="12.5" x14ac:dyDescent="0.25">
      <c r="A33" s="2" t="s">
        <v>35</v>
      </c>
      <c r="B33" s="7">
        <v>10</v>
      </c>
      <c r="C33" s="4" cm="1">
        <f t="array" ref="C33">_xlfn.IFS(E33&lt;="F",0,E33&lt;="M",1,E33&lt;="Z",2)</f>
        <v>2</v>
      </c>
      <c r="D33" s="5" cm="1">
        <f t="array" ref="D33">_xlfn.IFS(C33=$F$2,$G$2*(B33/$H$2),C33=$F$3,$G$2*(B33/$H$3),C33=$F$4,$G$2*(B33/$H$4))</f>
        <v>20</v>
      </c>
      <c r="E33" t="str">
        <f t="shared" si="0"/>
        <v>Y</v>
      </c>
    </row>
    <row r="34" spans="1:5" ht="12.5" x14ac:dyDescent="0.25">
      <c r="A34" s="2" t="s">
        <v>36</v>
      </c>
      <c r="B34" s="7">
        <v>0.5</v>
      </c>
      <c r="C34" s="4" cm="1">
        <f t="array" ref="C34">_xlfn.IFS(E34&lt;="F",0,E34&lt;="M",1,E34&lt;="Z",2)</f>
        <v>0</v>
      </c>
      <c r="D34" s="5" cm="1">
        <f t="array" ref="D34">_xlfn.IFS(C34=$F$2,$G$2*(B34/$H$2),C34=$F$3,$G$2*(B34/$H$3),C34=$F$4,$G$2*(B34/$H$4))</f>
        <v>2</v>
      </c>
      <c r="E34" t="str">
        <f t="shared" si="0"/>
        <v>A</v>
      </c>
    </row>
    <row r="35" spans="1:5" ht="12.5" x14ac:dyDescent="0.25">
      <c r="A35" s="2" t="s">
        <v>37</v>
      </c>
      <c r="B35" s="7">
        <v>1</v>
      </c>
      <c r="C35" s="4" cm="1">
        <f t="array" ref="C35">_xlfn.IFS(E35&lt;="F",0,E35&lt;="M",1,E35&lt;="Z",2)</f>
        <v>0</v>
      </c>
      <c r="D35" s="5" cm="1">
        <f t="array" ref="D35">_xlfn.IFS(C35=$F$2,$G$2*(B35/$H$2),C35=$F$3,$G$2*(B35/$H$3),C35=$F$4,$G$2*(B35/$H$4))</f>
        <v>4</v>
      </c>
      <c r="E35" t="str">
        <f t="shared" si="0"/>
        <v>C</v>
      </c>
    </row>
    <row r="36" spans="1:5" ht="12.5" x14ac:dyDescent="0.25">
      <c r="A36" s="2" t="s">
        <v>38</v>
      </c>
      <c r="B36" s="7">
        <v>2</v>
      </c>
      <c r="C36" s="4" cm="1">
        <f t="array" ref="C36">_xlfn.IFS(E36&lt;="F",0,E36&lt;="M",1,E36&lt;="Z",2)</f>
        <v>0</v>
      </c>
      <c r="D36" s="5" cm="1">
        <f t="array" ref="D36">_xlfn.IFS(C36=$F$2,$G$2*(B36/$H$2),C36=$F$3,$G$2*(B36/$H$3),C36=$F$4,$G$2*(B36/$H$4))</f>
        <v>8</v>
      </c>
      <c r="E36" t="str">
        <f t="shared" si="0"/>
        <v>E</v>
      </c>
    </row>
    <row r="37" spans="1:5" ht="12.5" x14ac:dyDescent="0.25">
      <c r="A37" s="2" t="s">
        <v>39</v>
      </c>
      <c r="B37" s="7">
        <v>3</v>
      </c>
      <c r="C37" s="4" cm="1">
        <f t="array" ref="C37">_xlfn.IFS(E37&lt;="F",0,E37&lt;="M",1,E37&lt;="Z",2)</f>
        <v>1</v>
      </c>
      <c r="D37" s="5" cm="1">
        <f t="array" ref="D37">_xlfn.IFS(C37=$F$2,$G$2*(B37/$H$2),C37=$F$3,$G$2*(B37/$H$3),C37=$F$4,$G$2*(B37/$H$4))</f>
        <v>12</v>
      </c>
      <c r="E37" t="str">
        <f t="shared" si="0"/>
        <v>G</v>
      </c>
    </row>
    <row r="38" spans="1:5" ht="12.5" x14ac:dyDescent="0.25">
      <c r="A38" s="2" t="s">
        <v>40</v>
      </c>
      <c r="B38" s="7">
        <v>4</v>
      </c>
      <c r="C38" s="4" cm="1">
        <f t="array" ref="C38">_xlfn.IFS(E38&lt;="F",0,E38&lt;="M",1,E38&lt;="Z",2)</f>
        <v>1</v>
      </c>
      <c r="D38" s="5" cm="1">
        <f t="array" ref="D38">_xlfn.IFS(C38=$F$2,$G$2*(B38/$H$2),C38=$F$3,$G$2*(B38/$H$3),C38=$F$4,$G$2*(B38/$H$4))</f>
        <v>16</v>
      </c>
      <c r="E38" t="str">
        <f t="shared" si="0"/>
        <v>I</v>
      </c>
    </row>
    <row r="39" spans="1:5" ht="12.5" x14ac:dyDescent="0.25">
      <c r="A39" s="2" t="s">
        <v>41</v>
      </c>
      <c r="B39" s="7">
        <v>5</v>
      </c>
      <c r="C39" s="4" cm="1">
        <f t="array" ref="C39">_xlfn.IFS(E39&lt;="F",0,E39&lt;="M",1,E39&lt;="Z",2)</f>
        <v>1</v>
      </c>
      <c r="D39" s="5" cm="1">
        <f t="array" ref="D39">_xlfn.IFS(C39=$F$2,$G$2*(B39/$H$2),C39=$F$3,$G$2*(B39/$H$3),C39=$F$4,$G$2*(B39/$H$4))</f>
        <v>20</v>
      </c>
      <c r="E39" t="str">
        <f t="shared" si="0"/>
        <v>K</v>
      </c>
    </row>
    <row r="40" spans="1:5" ht="12.5" x14ac:dyDescent="0.25">
      <c r="A40" s="2" t="s">
        <v>42</v>
      </c>
      <c r="B40" s="7">
        <v>6</v>
      </c>
      <c r="C40" s="4" cm="1">
        <f t="array" ref="C40">_xlfn.IFS(E40&lt;="F",0,E40&lt;="M",1,E40&lt;="Z",2)</f>
        <v>1</v>
      </c>
      <c r="D40" s="5" cm="1">
        <f t="array" ref="D40">_xlfn.IFS(C40=$F$2,$G$2*(B40/$H$2),C40=$F$3,$G$2*(B40/$H$3),C40=$F$4,$G$2*(B40/$H$4))</f>
        <v>24</v>
      </c>
      <c r="E40" t="str">
        <f t="shared" si="0"/>
        <v>M</v>
      </c>
    </row>
    <row r="41" spans="1:5" ht="12.5" x14ac:dyDescent="0.25">
      <c r="A41" s="2" t="s">
        <v>43</v>
      </c>
      <c r="B41" s="7">
        <v>7</v>
      </c>
      <c r="C41" s="4" cm="1">
        <f t="array" ref="C41">_xlfn.IFS(E41&lt;="F",0,E41&lt;="M",1,E41&lt;="Z",2)</f>
        <v>2</v>
      </c>
      <c r="D41" s="5" cm="1">
        <f t="array" ref="D41">_xlfn.IFS(C41=$F$2,$G$2*(B41/$H$2),C41=$F$3,$G$2*(B41/$H$3),C41=$F$4,$G$2*(B41/$H$4))</f>
        <v>14</v>
      </c>
      <c r="E41" t="str">
        <f t="shared" si="0"/>
        <v>O</v>
      </c>
    </row>
    <row r="42" spans="1:5" ht="12.5" x14ac:dyDescent="0.25">
      <c r="A42" s="2" t="s">
        <v>44</v>
      </c>
      <c r="B42" s="7">
        <v>8</v>
      </c>
      <c r="C42" s="4" cm="1">
        <f t="array" ref="C42">_xlfn.IFS(E42&lt;="F",0,E42&lt;="M",1,E42&lt;="Z",2)</f>
        <v>2</v>
      </c>
      <c r="D42" s="5" cm="1">
        <f t="array" ref="D42">_xlfn.IFS(C42=$F$2,$G$2*(B42/$H$2),C42=$F$3,$G$2*(B42/$H$3),C42=$F$4,$G$2*(B42/$H$4))</f>
        <v>16</v>
      </c>
      <c r="E42" t="str">
        <f t="shared" si="0"/>
        <v>Q</v>
      </c>
    </row>
    <row r="43" spans="1:5" ht="12.5" x14ac:dyDescent="0.25">
      <c r="A43" s="2" t="s">
        <v>45</v>
      </c>
      <c r="B43" s="7">
        <v>9</v>
      </c>
      <c r="C43" s="4" cm="1">
        <f t="array" ref="C43">_xlfn.IFS(E43&lt;="F",0,E43&lt;="M",1,E43&lt;="Z",2)</f>
        <v>2</v>
      </c>
      <c r="D43" s="5" cm="1">
        <f t="array" ref="D43">_xlfn.IFS(C43=$F$2,$G$2*(B43/$H$2),C43=$F$3,$G$2*(B43/$H$3),C43=$F$4,$G$2*(B43/$H$4))</f>
        <v>18</v>
      </c>
      <c r="E43" t="str">
        <f t="shared" si="0"/>
        <v>S</v>
      </c>
    </row>
    <row r="44" spans="1:5" ht="12.5" x14ac:dyDescent="0.25">
      <c r="A44" s="2" t="s">
        <v>7</v>
      </c>
      <c r="B44" s="7">
        <v>10</v>
      </c>
      <c r="C44" s="4" cm="1">
        <f t="array" ref="C44">_xlfn.IFS(E44&lt;="F",0,E44&lt;="M",1,E44&lt;="Z",2)</f>
        <v>2</v>
      </c>
      <c r="D44" s="5" cm="1">
        <f t="array" ref="D44">_xlfn.IFS(C44=$F$2,$G$2*(B44/$H$2),C44=$F$3,$G$2*(B44/$H$3),C44=$F$4,$G$2*(B44/$H$4))</f>
        <v>20</v>
      </c>
      <c r="E44" t="str">
        <f t="shared" si="0"/>
        <v>U</v>
      </c>
    </row>
    <row r="45" spans="1:5" ht="12.5" x14ac:dyDescent="0.25">
      <c r="A45" s="2" t="s">
        <v>46</v>
      </c>
      <c r="B45" s="7">
        <v>0.5</v>
      </c>
      <c r="C45" s="4" cm="1">
        <f t="array" ref="C45">_xlfn.IFS(E45&lt;="F",0,E45&lt;="M",1,E45&lt;="Z",2)</f>
        <v>2</v>
      </c>
      <c r="D45" s="5" cm="1">
        <f t="array" ref="D45">_xlfn.IFS(C45=$F$2,$G$2*(B45/$H$2),C45=$F$3,$G$2*(B45/$H$3),C45=$F$4,$G$2*(B45/$H$4))</f>
        <v>1</v>
      </c>
      <c r="E45" t="str">
        <f t="shared" si="0"/>
        <v>W</v>
      </c>
    </row>
    <row r="46" spans="1:5" ht="12.5" x14ac:dyDescent="0.25">
      <c r="A46" s="2" t="s">
        <v>47</v>
      </c>
      <c r="B46" s="7">
        <v>1</v>
      </c>
      <c r="C46" s="4" cm="1">
        <f t="array" ref="C46">_xlfn.IFS(E46&lt;="F",0,E46&lt;="M",1,E46&lt;="Z",2)</f>
        <v>2</v>
      </c>
      <c r="D46" s="5" cm="1">
        <f t="array" ref="D46">_xlfn.IFS(C46=$F$2,$G$2*(B46/$H$2),C46=$F$3,$G$2*(B46/$H$3),C46=$F$4,$G$2*(B46/$H$4))</f>
        <v>2</v>
      </c>
      <c r="E46" t="str">
        <f t="shared" si="0"/>
        <v>Y</v>
      </c>
    </row>
    <row r="47" spans="1:5" ht="12.5" x14ac:dyDescent="0.25">
      <c r="A47" s="2" t="s">
        <v>48</v>
      </c>
      <c r="B47" s="7">
        <v>2</v>
      </c>
      <c r="C47" s="4" cm="1">
        <f t="array" ref="C47">_xlfn.IFS(E47&lt;="F",0,E47&lt;="M",1,E47&lt;="Z",2)</f>
        <v>0</v>
      </c>
      <c r="D47" s="5" cm="1">
        <f t="array" ref="D47">_xlfn.IFS(C47=$F$2,$G$2*(B47/$H$2),C47=$F$3,$G$2*(B47/$H$3),C47=$F$4,$G$2*(B47/$H$4))</f>
        <v>8</v>
      </c>
      <c r="E47" t="str">
        <f t="shared" si="0"/>
        <v>A</v>
      </c>
    </row>
    <row r="48" spans="1:5" ht="12.5" x14ac:dyDescent="0.25">
      <c r="A48" s="2" t="s">
        <v>49</v>
      </c>
      <c r="B48" s="7">
        <v>3</v>
      </c>
      <c r="C48" s="4" cm="1">
        <f t="array" ref="C48">_xlfn.IFS(E48&lt;="F",0,E48&lt;="M",1,E48&lt;="Z",2)</f>
        <v>0</v>
      </c>
      <c r="D48" s="5" cm="1">
        <f t="array" ref="D48">_xlfn.IFS(C48=$F$2,$G$2*(B48/$H$2),C48=$F$3,$G$2*(B48/$H$3),C48=$F$4,$G$2*(B48/$H$4))</f>
        <v>12</v>
      </c>
      <c r="E48" t="str">
        <f t="shared" si="0"/>
        <v>C</v>
      </c>
    </row>
    <row r="49" spans="1:5" ht="12.5" x14ac:dyDescent="0.25">
      <c r="A49" s="2" t="s">
        <v>50</v>
      </c>
      <c r="B49" s="7">
        <v>4</v>
      </c>
      <c r="C49" s="4" cm="1">
        <f t="array" ref="C49">_xlfn.IFS(E49&lt;="F",0,E49&lt;="M",1,E49&lt;="Z",2)</f>
        <v>0</v>
      </c>
      <c r="D49" s="5" cm="1">
        <f t="array" ref="D49">_xlfn.IFS(C49=$F$2,$G$2*(B49/$H$2),C49=$F$3,$G$2*(B49/$H$3),C49=$F$4,$G$2*(B49/$H$4))</f>
        <v>16</v>
      </c>
      <c r="E49" t="str">
        <f t="shared" si="0"/>
        <v>E</v>
      </c>
    </row>
    <row r="50" spans="1:5" ht="12.5" x14ac:dyDescent="0.25">
      <c r="A50" s="2" t="s">
        <v>51</v>
      </c>
      <c r="B50" s="7">
        <v>5</v>
      </c>
      <c r="C50" s="4" cm="1">
        <f t="array" ref="C50">_xlfn.IFS(E50&lt;="F",0,E50&lt;="M",1,E50&lt;="Z",2)</f>
        <v>1</v>
      </c>
      <c r="D50" s="5" cm="1">
        <f t="array" ref="D50">_xlfn.IFS(C50=$F$2,$G$2*(B50/$H$2),C50=$F$3,$G$2*(B50/$H$3),C50=$F$4,$G$2*(B50/$H$4))</f>
        <v>20</v>
      </c>
      <c r="E50" t="str">
        <f t="shared" si="0"/>
        <v>G</v>
      </c>
    </row>
    <row r="51" spans="1:5" ht="12.5" x14ac:dyDescent="0.25">
      <c r="A51" s="2" t="s">
        <v>52</v>
      </c>
      <c r="B51" s="7">
        <v>6</v>
      </c>
      <c r="C51" s="4" cm="1">
        <f t="array" ref="C51">_xlfn.IFS(E51&lt;="F",0,E51&lt;="M",1,E51&lt;="Z",2)</f>
        <v>1</v>
      </c>
      <c r="D51" s="5" cm="1">
        <f t="array" ref="D51">_xlfn.IFS(C51=$F$2,$G$2*(B51/$H$2),C51=$F$3,$G$2*(B51/$H$3),C51=$F$4,$G$2*(B51/$H$4))</f>
        <v>24</v>
      </c>
      <c r="E51" t="str">
        <f t="shared" si="0"/>
        <v>I</v>
      </c>
    </row>
    <row r="52" spans="1:5" ht="12.5" x14ac:dyDescent="0.25">
      <c r="A52" s="2" t="s">
        <v>53</v>
      </c>
      <c r="B52" s="7">
        <v>7</v>
      </c>
      <c r="C52" s="4" cm="1">
        <f t="array" ref="C52">_xlfn.IFS(E52&lt;="F",0,E52&lt;="M",1,E52&lt;="Z",2)</f>
        <v>1</v>
      </c>
      <c r="D52" s="5" cm="1">
        <f t="array" ref="D52">_xlfn.IFS(C52=$F$2,$G$2*(B52/$H$2),C52=$F$3,$G$2*(B52/$H$3),C52=$F$4,$G$2*(B52/$H$4))</f>
        <v>28</v>
      </c>
      <c r="E52" t="str">
        <f t="shared" si="0"/>
        <v>K</v>
      </c>
    </row>
    <row r="53" spans="1:5" ht="12.5" x14ac:dyDescent="0.25">
      <c r="A53" s="2" t="s">
        <v>54</v>
      </c>
      <c r="B53" s="7">
        <v>8</v>
      </c>
      <c r="C53" s="4" cm="1">
        <f t="array" ref="C53">_xlfn.IFS(E53&lt;="F",0,E53&lt;="M",1,E53&lt;="Z",2)</f>
        <v>1</v>
      </c>
      <c r="D53" s="5" cm="1">
        <f t="array" ref="D53">_xlfn.IFS(C53=$F$2,$G$2*(B53/$H$2),C53=$F$3,$G$2*(B53/$H$3),C53=$F$4,$G$2*(B53/$H$4))</f>
        <v>32</v>
      </c>
      <c r="E53" t="str">
        <f t="shared" si="0"/>
        <v>M</v>
      </c>
    </row>
    <row r="54" spans="1:5" ht="12.5" x14ac:dyDescent="0.25">
      <c r="A54" s="2" t="s">
        <v>55</v>
      </c>
      <c r="B54" s="7">
        <v>9</v>
      </c>
      <c r="C54" s="4" cm="1">
        <f t="array" ref="C54">_xlfn.IFS(E54&lt;="F",0,E54&lt;="M",1,E54&lt;="Z",2)</f>
        <v>2</v>
      </c>
      <c r="D54" s="5" cm="1">
        <f t="array" ref="D54">_xlfn.IFS(C54=$F$2,$G$2*(B54/$H$2),C54=$F$3,$G$2*(B54/$H$3),C54=$F$4,$G$2*(B54/$H$4))</f>
        <v>18</v>
      </c>
      <c r="E54" t="str">
        <f t="shared" si="0"/>
        <v>O</v>
      </c>
    </row>
    <row r="55" spans="1:5" ht="12.5" x14ac:dyDescent="0.25">
      <c r="A55" s="2" t="s">
        <v>56</v>
      </c>
      <c r="B55" s="7">
        <v>10</v>
      </c>
      <c r="C55" s="4" cm="1">
        <f t="array" ref="C55">_xlfn.IFS(E55&lt;="F",0,E55&lt;="M",1,E55&lt;="Z",2)</f>
        <v>2</v>
      </c>
      <c r="D55" s="5" cm="1">
        <f t="array" ref="D55">_xlfn.IFS(C55=$F$2,$G$2*(B55/$H$2),C55=$F$3,$G$2*(B55/$H$3),C55=$F$4,$G$2*(B55/$H$4))</f>
        <v>20</v>
      </c>
      <c r="E55" t="str">
        <f t="shared" si="0"/>
        <v>Q</v>
      </c>
    </row>
    <row r="56" spans="1:5" ht="12.5" x14ac:dyDescent="0.25">
      <c r="A56" s="2" t="s">
        <v>57</v>
      </c>
      <c r="B56" s="7">
        <v>0.5</v>
      </c>
      <c r="C56" s="4" cm="1">
        <f t="array" ref="C56">_xlfn.IFS(E56&lt;="F",0,E56&lt;="M",1,E56&lt;="Z",2)</f>
        <v>2</v>
      </c>
      <c r="D56" s="5" cm="1">
        <f t="array" ref="D56">_xlfn.IFS(C56=$F$2,$G$2*(B56/$H$2),C56=$F$3,$G$2*(B56/$H$3),C56=$F$4,$G$2*(B56/$H$4))</f>
        <v>1</v>
      </c>
      <c r="E56" t="str">
        <f t="shared" si="0"/>
        <v>S</v>
      </c>
    </row>
    <row r="57" spans="1:5" ht="12.5" x14ac:dyDescent="0.25">
      <c r="A57" s="2" t="s">
        <v>58</v>
      </c>
      <c r="B57" s="7">
        <v>1</v>
      </c>
      <c r="C57" s="4" cm="1">
        <f t="array" ref="C57">_xlfn.IFS(E57&lt;="F",0,E57&lt;="M",1,E57&lt;="Z",2)</f>
        <v>2</v>
      </c>
      <c r="D57" s="5" cm="1">
        <f t="array" ref="D57">_xlfn.IFS(C57=$F$2,$G$2*(B57/$H$2),C57=$F$3,$G$2*(B57/$H$3),C57=$F$4,$G$2*(B57/$H$4))</f>
        <v>2</v>
      </c>
      <c r="E57" t="str">
        <f t="shared" si="0"/>
        <v>U</v>
      </c>
    </row>
    <row r="58" spans="1:5" ht="12.5" x14ac:dyDescent="0.25">
      <c r="A58" s="2" t="s">
        <v>59</v>
      </c>
      <c r="B58" s="7">
        <v>2</v>
      </c>
      <c r="C58" s="4" cm="1">
        <f t="array" ref="C58">_xlfn.IFS(E58&lt;="F",0,E58&lt;="M",1,E58&lt;="Z",2)</f>
        <v>2</v>
      </c>
      <c r="D58" s="5" cm="1">
        <f t="array" ref="D58">_xlfn.IFS(C58=$F$2,$G$2*(B58/$H$2),C58=$F$3,$G$2*(B58/$H$3),C58=$F$4,$G$2*(B58/$H$4))</f>
        <v>4</v>
      </c>
      <c r="E58" t="str">
        <f t="shared" si="0"/>
        <v>W</v>
      </c>
    </row>
    <row r="59" spans="1:5" ht="12.5" x14ac:dyDescent="0.25">
      <c r="A59" s="2" t="s">
        <v>60</v>
      </c>
      <c r="B59" s="7">
        <v>3</v>
      </c>
      <c r="C59" s="4" cm="1">
        <f t="array" ref="C59">_xlfn.IFS(E59&lt;="F",0,E59&lt;="M",1,E59&lt;="Z",2)</f>
        <v>2</v>
      </c>
      <c r="D59" s="5" cm="1">
        <f t="array" ref="D59">_xlfn.IFS(C59=$F$2,$G$2*(B59/$H$2),C59=$F$3,$G$2*(B59/$H$3),C59=$F$4,$G$2*(B59/$H$4))</f>
        <v>6</v>
      </c>
      <c r="E59" t="str">
        <f t="shared" si="0"/>
        <v>Y</v>
      </c>
    </row>
    <row r="60" spans="1:5" ht="12.5" x14ac:dyDescent="0.25">
      <c r="A60" s="2" t="s">
        <v>61</v>
      </c>
      <c r="B60" s="7">
        <v>4</v>
      </c>
      <c r="C60" s="4" cm="1">
        <f t="array" ref="C60">_xlfn.IFS(E60&lt;="F",0,E60&lt;="M",1,E60&lt;="Z",2)</f>
        <v>0</v>
      </c>
      <c r="D60" s="5" cm="1">
        <f t="array" ref="D60">_xlfn.IFS(C60=$F$2,$G$2*(B60/$H$2),C60=$F$3,$G$2*(B60/$H$3),C60=$F$4,$G$2*(B60/$H$4))</f>
        <v>16</v>
      </c>
      <c r="E60" t="str">
        <f t="shared" si="0"/>
        <v>A</v>
      </c>
    </row>
    <row r="61" spans="1:5" ht="12.5" x14ac:dyDescent="0.25">
      <c r="A61" s="2" t="s">
        <v>62</v>
      </c>
      <c r="B61" s="7">
        <v>5</v>
      </c>
      <c r="C61" s="4" cm="1">
        <f t="array" ref="C61">_xlfn.IFS(E61&lt;="F",0,E61&lt;="M",1,E61&lt;="Z",2)</f>
        <v>0</v>
      </c>
      <c r="D61" s="5" cm="1">
        <f t="array" ref="D61">_xlfn.IFS(C61=$F$2,$G$2*(B61/$H$2),C61=$F$3,$G$2*(B61/$H$3),C61=$F$4,$G$2*(B61/$H$4))</f>
        <v>20</v>
      </c>
      <c r="E61" t="str">
        <f t="shared" si="0"/>
        <v>C</v>
      </c>
    </row>
    <row r="62" spans="1:5" ht="12.5" x14ac:dyDescent="0.25">
      <c r="A62" s="2" t="s">
        <v>63</v>
      </c>
      <c r="B62" s="7">
        <v>6</v>
      </c>
      <c r="C62" s="4" cm="1">
        <f t="array" ref="C62">_xlfn.IFS(E62&lt;="F",0,E62&lt;="M",1,E62&lt;="Z",2)</f>
        <v>0</v>
      </c>
      <c r="D62" s="5" cm="1">
        <f t="array" ref="D62">_xlfn.IFS(C62=$F$2,$G$2*(B62/$H$2),C62=$F$3,$G$2*(B62/$H$3),C62=$F$4,$G$2*(B62/$H$4))</f>
        <v>24</v>
      </c>
      <c r="E62" t="str">
        <f t="shared" si="0"/>
        <v>E</v>
      </c>
    </row>
    <row r="63" spans="1:5" ht="12.5" x14ac:dyDescent="0.25">
      <c r="A63" s="2" t="s">
        <v>64</v>
      </c>
      <c r="B63" s="7">
        <v>7</v>
      </c>
      <c r="C63" s="4" cm="1">
        <f t="array" ref="C63">_xlfn.IFS(E63&lt;="F",0,E63&lt;="M",1,E63&lt;="Z",2)</f>
        <v>1</v>
      </c>
      <c r="D63" s="5" cm="1">
        <f t="array" ref="D63">_xlfn.IFS(C63=$F$2,$G$2*(B63/$H$2),C63=$F$3,$G$2*(B63/$H$3),C63=$F$4,$G$2*(B63/$H$4))</f>
        <v>28</v>
      </c>
      <c r="E63" t="str">
        <f t="shared" si="0"/>
        <v>G</v>
      </c>
    </row>
    <row r="64" spans="1:5" ht="12.5" x14ac:dyDescent="0.25">
      <c r="A64" s="2" t="s">
        <v>65</v>
      </c>
      <c r="B64" s="7">
        <v>8</v>
      </c>
      <c r="C64" s="4" cm="1">
        <f t="array" ref="C64">_xlfn.IFS(E64&lt;="F",0,E64&lt;="M",1,E64&lt;="Z",2)</f>
        <v>1</v>
      </c>
      <c r="D64" s="5" cm="1">
        <f t="array" ref="D64">_xlfn.IFS(C64=$F$2,$G$2*(B64/$H$2),C64=$F$3,$G$2*(B64/$H$3),C64=$F$4,$G$2*(B64/$H$4))</f>
        <v>32</v>
      </c>
      <c r="E64" t="str">
        <f t="shared" si="0"/>
        <v>I</v>
      </c>
    </row>
    <row r="65" spans="1:5" ht="12.5" x14ac:dyDescent="0.25">
      <c r="A65" s="2" t="s">
        <v>66</v>
      </c>
      <c r="B65" s="7">
        <v>9</v>
      </c>
      <c r="C65" s="4" cm="1">
        <f t="array" ref="C65">_xlfn.IFS(E65&lt;="F",0,E65&lt;="M",1,E65&lt;="Z",2)</f>
        <v>1</v>
      </c>
      <c r="D65" s="5" cm="1">
        <f t="array" ref="D65">_xlfn.IFS(C65=$F$2,$G$2*(B65/$H$2),C65=$F$3,$G$2*(B65/$H$3),C65=$F$4,$G$2*(B65/$H$4))</f>
        <v>36</v>
      </c>
      <c r="E65" t="str">
        <f t="shared" si="0"/>
        <v>K</v>
      </c>
    </row>
    <row r="66" spans="1:5" ht="12.5" x14ac:dyDescent="0.25">
      <c r="A66" s="2" t="s">
        <v>67</v>
      </c>
      <c r="B66" s="7">
        <v>10</v>
      </c>
      <c r="C66" s="4" cm="1">
        <f t="array" ref="C66">_xlfn.IFS(E66&lt;="F",0,E66&lt;="M",1,E66&lt;="Z",2)</f>
        <v>1</v>
      </c>
      <c r="D66" s="5" cm="1">
        <f t="array" ref="D66">_xlfn.IFS(C66=$F$2,$G$2*(B66/$H$2),C66=$F$3,$G$2*(B66/$H$3),C66=$F$4,$G$2*(B66/$H$4))</f>
        <v>40</v>
      </c>
      <c r="E66" t="str">
        <f t="shared" si="0"/>
        <v>M</v>
      </c>
    </row>
    <row r="67" spans="1:5" ht="12.5" x14ac:dyDescent="0.25">
      <c r="A67" s="2" t="s">
        <v>68</v>
      </c>
      <c r="B67" s="7">
        <v>0.5</v>
      </c>
      <c r="C67" s="4" cm="1">
        <f t="array" ref="C67">_xlfn.IFS(E67&lt;="F",0,E67&lt;="M",1,E67&lt;="Z",2)</f>
        <v>2</v>
      </c>
      <c r="D67" s="5" cm="1">
        <f t="array" ref="D67">_xlfn.IFS(C67=$F$2,$G$2*(B67/$H$2),C67=$F$3,$G$2*(B67/$H$3),C67=$F$4,$G$2*(B67/$H$4))</f>
        <v>1</v>
      </c>
      <c r="E67" t="str">
        <f t="shared" ref="E67:E101" si="1">LEFT(A67,1)</f>
        <v>O</v>
      </c>
    </row>
    <row r="68" spans="1:5" ht="12.5" x14ac:dyDescent="0.25">
      <c r="A68" s="2" t="s">
        <v>69</v>
      </c>
      <c r="B68" s="7">
        <v>1</v>
      </c>
      <c r="C68" s="4" cm="1">
        <f t="array" ref="C68">_xlfn.IFS(E68&lt;="F",0,E68&lt;="M",1,E68&lt;="Z",2)</f>
        <v>2</v>
      </c>
      <c r="D68" s="5" cm="1">
        <f t="array" ref="D68">_xlfn.IFS(C68=$F$2,$G$2*(B68/$H$2),C68=$F$3,$G$2*(B68/$H$3),C68=$F$4,$G$2*(B68/$H$4))</f>
        <v>2</v>
      </c>
      <c r="E68" t="str">
        <f t="shared" si="1"/>
        <v>Q</v>
      </c>
    </row>
    <row r="69" spans="1:5" ht="12.5" x14ac:dyDescent="0.25">
      <c r="A69" s="2" t="s">
        <v>70</v>
      </c>
      <c r="B69" s="7">
        <v>2</v>
      </c>
      <c r="C69" s="4" cm="1">
        <f t="array" ref="C69">_xlfn.IFS(E69&lt;="F",0,E69&lt;="M",1,E69&lt;="Z",2)</f>
        <v>2</v>
      </c>
      <c r="D69" s="5" cm="1">
        <f t="array" ref="D69">_xlfn.IFS(C69=$F$2,$G$2*(B69/$H$2),C69=$F$3,$G$2*(B69/$H$3),C69=$F$4,$G$2*(B69/$H$4))</f>
        <v>4</v>
      </c>
      <c r="E69" t="str">
        <f t="shared" si="1"/>
        <v>S</v>
      </c>
    </row>
    <row r="70" spans="1:5" ht="12.5" x14ac:dyDescent="0.25">
      <c r="A70" s="2" t="s">
        <v>71</v>
      </c>
      <c r="B70" s="7">
        <v>3</v>
      </c>
      <c r="C70" s="4" cm="1">
        <f t="array" ref="C70">_xlfn.IFS(E70&lt;="F",0,E70&lt;="M",1,E70&lt;="Z",2)</f>
        <v>2</v>
      </c>
      <c r="D70" s="5" cm="1">
        <f t="array" ref="D70">_xlfn.IFS(C70=$F$2,$G$2*(B70/$H$2),C70=$F$3,$G$2*(B70/$H$3),C70=$F$4,$G$2*(B70/$H$4))</f>
        <v>6</v>
      </c>
      <c r="E70" t="str">
        <f t="shared" si="1"/>
        <v>U</v>
      </c>
    </row>
    <row r="71" spans="1:5" ht="12.5" x14ac:dyDescent="0.25">
      <c r="A71" s="2" t="s">
        <v>72</v>
      </c>
      <c r="B71" s="7">
        <v>4</v>
      </c>
      <c r="C71" s="4" cm="1">
        <f t="array" ref="C71">_xlfn.IFS(E71&lt;="F",0,E71&lt;="M",1,E71&lt;="Z",2)</f>
        <v>2</v>
      </c>
      <c r="D71" s="5" cm="1">
        <f t="array" ref="D71">_xlfn.IFS(C71=$F$2,$G$2*(B71/$H$2),C71=$F$3,$G$2*(B71/$H$3),C71=$F$4,$G$2*(B71/$H$4))</f>
        <v>8</v>
      </c>
      <c r="E71" t="str">
        <f t="shared" si="1"/>
        <v>W</v>
      </c>
    </row>
    <row r="72" spans="1:5" ht="12.5" x14ac:dyDescent="0.25">
      <c r="A72" s="2" t="s">
        <v>73</v>
      </c>
      <c r="B72" s="7">
        <v>5</v>
      </c>
      <c r="C72" s="4" cm="1">
        <f t="array" ref="C72">_xlfn.IFS(E72&lt;="F",0,E72&lt;="M",1,E72&lt;="Z",2)</f>
        <v>2</v>
      </c>
      <c r="D72" s="5" cm="1">
        <f t="array" ref="D72">_xlfn.IFS(C72=$F$2,$G$2*(B72/$H$2),C72=$F$3,$G$2*(B72/$H$3),C72=$F$4,$G$2*(B72/$H$4))</f>
        <v>10</v>
      </c>
      <c r="E72" t="str">
        <f t="shared" si="1"/>
        <v>Y</v>
      </c>
    </row>
    <row r="73" spans="1:5" ht="12.5" x14ac:dyDescent="0.25">
      <c r="A73" s="2" t="s">
        <v>74</v>
      </c>
      <c r="B73" s="7">
        <v>6</v>
      </c>
      <c r="C73" s="4" cm="1">
        <f t="array" ref="C73">_xlfn.IFS(E73&lt;="F",0,E73&lt;="M",1,E73&lt;="Z",2)</f>
        <v>0</v>
      </c>
      <c r="D73" s="5" cm="1">
        <f t="array" ref="D73">_xlfn.IFS(C73=$F$2,$G$2*(B73/$H$2),C73=$F$3,$G$2*(B73/$H$3),C73=$F$4,$G$2*(B73/$H$4))</f>
        <v>24</v>
      </c>
      <c r="E73" t="str">
        <f t="shared" si="1"/>
        <v>A</v>
      </c>
    </row>
    <row r="74" spans="1:5" ht="12.5" x14ac:dyDescent="0.25">
      <c r="A74" s="2" t="s">
        <v>75</v>
      </c>
      <c r="B74" s="7">
        <v>7</v>
      </c>
      <c r="C74" s="4" cm="1">
        <f t="array" ref="C74">_xlfn.IFS(E74&lt;="F",0,E74&lt;="M",1,E74&lt;="Z",2)</f>
        <v>0</v>
      </c>
      <c r="D74" s="5" cm="1">
        <f t="array" ref="D74">_xlfn.IFS(C74=$F$2,$G$2*(B74/$H$2),C74=$F$3,$G$2*(B74/$H$3),C74=$F$4,$G$2*(B74/$H$4))</f>
        <v>28</v>
      </c>
      <c r="E74" t="str">
        <f t="shared" si="1"/>
        <v>C</v>
      </c>
    </row>
    <row r="75" spans="1:5" ht="12.5" x14ac:dyDescent="0.25">
      <c r="A75" s="2" t="s">
        <v>76</v>
      </c>
      <c r="B75" s="7">
        <v>8</v>
      </c>
      <c r="C75" s="4" cm="1">
        <f t="array" ref="C75">_xlfn.IFS(E75&lt;="F",0,E75&lt;="M",1,E75&lt;="Z",2)</f>
        <v>0</v>
      </c>
      <c r="D75" s="5" cm="1">
        <f t="array" ref="D75">_xlfn.IFS(C75=$F$2,$G$2*(B75/$H$2),C75=$F$3,$G$2*(B75/$H$3),C75=$F$4,$G$2*(B75/$H$4))</f>
        <v>32</v>
      </c>
      <c r="E75" t="str">
        <f t="shared" si="1"/>
        <v>E</v>
      </c>
    </row>
    <row r="76" spans="1:5" ht="12.5" x14ac:dyDescent="0.25">
      <c r="A76" s="2" t="s">
        <v>77</v>
      </c>
      <c r="B76" s="7">
        <v>9</v>
      </c>
      <c r="C76" s="4" cm="1">
        <f t="array" ref="C76">_xlfn.IFS(E76&lt;="F",0,E76&lt;="M",1,E76&lt;="Z",2)</f>
        <v>1</v>
      </c>
      <c r="D76" s="5" cm="1">
        <f t="array" ref="D76">_xlfn.IFS(C76=$F$2,$G$2*(B76/$H$2),C76=$F$3,$G$2*(B76/$H$3),C76=$F$4,$G$2*(B76/$H$4))</f>
        <v>36</v>
      </c>
      <c r="E76" t="str">
        <f t="shared" si="1"/>
        <v>G</v>
      </c>
    </row>
    <row r="77" spans="1:5" ht="12.5" x14ac:dyDescent="0.25">
      <c r="A77" s="2" t="s">
        <v>78</v>
      </c>
      <c r="B77" s="7">
        <v>10</v>
      </c>
      <c r="C77" s="4" cm="1">
        <f t="array" ref="C77">_xlfn.IFS(E77&lt;="F",0,E77&lt;="M",1,E77&lt;="Z",2)</f>
        <v>1</v>
      </c>
      <c r="D77" s="5" cm="1">
        <f t="array" ref="D77">_xlfn.IFS(C77=$F$2,$G$2*(B77/$H$2),C77=$F$3,$G$2*(B77/$H$3),C77=$F$4,$G$2*(B77/$H$4))</f>
        <v>40</v>
      </c>
      <c r="E77" t="str">
        <f t="shared" si="1"/>
        <v>I</v>
      </c>
    </row>
    <row r="78" spans="1:5" ht="12.5" x14ac:dyDescent="0.25">
      <c r="A78" s="2" t="s">
        <v>79</v>
      </c>
      <c r="B78" s="7">
        <v>0.5</v>
      </c>
      <c r="C78" s="4" cm="1">
        <f t="array" ref="C78">_xlfn.IFS(E78&lt;="F",0,E78&lt;="M",1,E78&lt;="Z",2)</f>
        <v>1</v>
      </c>
      <c r="D78" s="5" cm="1">
        <f t="array" ref="D78">_xlfn.IFS(C78=$F$2,$G$2*(B78/$H$2),C78=$F$3,$G$2*(B78/$H$3),C78=$F$4,$G$2*(B78/$H$4))</f>
        <v>2</v>
      </c>
      <c r="E78" t="str">
        <f t="shared" si="1"/>
        <v>K</v>
      </c>
    </row>
    <row r="79" spans="1:5" ht="12.5" x14ac:dyDescent="0.25">
      <c r="A79" s="2" t="s">
        <v>80</v>
      </c>
      <c r="B79" s="7">
        <v>1</v>
      </c>
      <c r="C79" s="4" cm="1">
        <f t="array" ref="C79">_xlfn.IFS(E79&lt;="F",0,E79&lt;="M",1,E79&lt;="Z",2)</f>
        <v>1</v>
      </c>
      <c r="D79" s="5" cm="1">
        <f t="array" ref="D79">_xlfn.IFS(C79=$F$2,$G$2*(B79/$H$2),C79=$F$3,$G$2*(B79/$H$3),C79=$F$4,$G$2*(B79/$H$4))</f>
        <v>4</v>
      </c>
      <c r="E79" t="str">
        <f t="shared" si="1"/>
        <v>M</v>
      </c>
    </row>
    <row r="80" spans="1:5" ht="12.5" x14ac:dyDescent="0.25">
      <c r="A80" s="2" t="s">
        <v>81</v>
      </c>
      <c r="B80" s="7">
        <v>2</v>
      </c>
      <c r="C80" s="4" cm="1">
        <f t="array" ref="C80">_xlfn.IFS(E80&lt;="F",0,E80&lt;="M",1,E80&lt;="Z",2)</f>
        <v>2</v>
      </c>
      <c r="D80" s="5" cm="1">
        <f t="array" ref="D80">_xlfn.IFS(C80=$F$2,$G$2*(B80/$H$2),C80=$F$3,$G$2*(B80/$H$3),C80=$F$4,$G$2*(B80/$H$4))</f>
        <v>4</v>
      </c>
      <c r="E80" t="str">
        <f t="shared" si="1"/>
        <v>O</v>
      </c>
    </row>
    <row r="81" spans="1:5" ht="12.5" x14ac:dyDescent="0.25">
      <c r="A81" s="2" t="s">
        <v>82</v>
      </c>
      <c r="B81" s="7">
        <v>3</v>
      </c>
      <c r="C81" s="4" cm="1">
        <f t="array" ref="C81">_xlfn.IFS(E81&lt;="F",0,E81&lt;="M",1,E81&lt;="Z",2)</f>
        <v>2</v>
      </c>
      <c r="D81" s="5" cm="1">
        <f t="array" ref="D81">_xlfn.IFS(C81=$F$2,$G$2*(B81/$H$2),C81=$F$3,$G$2*(B81/$H$3),C81=$F$4,$G$2*(B81/$H$4))</f>
        <v>6</v>
      </c>
      <c r="E81" t="str">
        <f t="shared" si="1"/>
        <v>Q</v>
      </c>
    </row>
    <row r="82" spans="1:5" ht="12.5" x14ac:dyDescent="0.25">
      <c r="A82" s="2" t="s">
        <v>83</v>
      </c>
      <c r="B82" s="7">
        <v>4</v>
      </c>
      <c r="C82" s="4" cm="1">
        <f t="array" ref="C82">_xlfn.IFS(E82&lt;="F",0,E82&lt;="M",1,E82&lt;="Z",2)</f>
        <v>2</v>
      </c>
      <c r="D82" s="5" cm="1">
        <f t="array" ref="D82">_xlfn.IFS(C82=$F$2,$G$2*(B82/$H$2),C82=$F$3,$G$2*(B82/$H$3),C82=$F$4,$G$2*(B82/$H$4))</f>
        <v>8</v>
      </c>
      <c r="E82" t="str">
        <f t="shared" si="1"/>
        <v>S</v>
      </c>
    </row>
    <row r="83" spans="1:5" ht="12.5" x14ac:dyDescent="0.25">
      <c r="A83" s="2" t="s">
        <v>84</v>
      </c>
      <c r="B83" s="7">
        <v>5</v>
      </c>
      <c r="C83" s="4" cm="1">
        <f t="array" ref="C83">_xlfn.IFS(E83&lt;="F",0,E83&lt;="M",1,E83&lt;="Z",2)</f>
        <v>2</v>
      </c>
      <c r="D83" s="5" cm="1">
        <f t="array" ref="D83">_xlfn.IFS(C83=$F$2,$G$2*(B83/$H$2),C83=$F$3,$G$2*(B83/$H$3),C83=$F$4,$G$2*(B83/$H$4))</f>
        <v>10</v>
      </c>
      <c r="E83" t="str">
        <f t="shared" si="1"/>
        <v>U</v>
      </c>
    </row>
    <row r="84" spans="1:5" ht="12.5" x14ac:dyDescent="0.25">
      <c r="A84" s="2" t="s">
        <v>85</v>
      </c>
      <c r="B84" s="7">
        <v>6</v>
      </c>
      <c r="C84" s="4" cm="1">
        <f t="array" ref="C84">_xlfn.IFS(E84&lt;="F",0,E84&lt;="M",1,E84&lt;="Z",2)</f>
        <v>2</v>
      </c>
      <c r="D84" s="5" cm="1">
        <f t="array" ref="D84">_xlfn.IFS(C84=$F$2,$G$2*(B84/$H$2),C84=$F$3,$G$2*(B84/$H$3),C84=$F$4,$G$2*(B84/$H$4))</f>
        <v>12</v>
      </c>
      <c r="E84" t="str">
        <f t="shared" si="1"/>
        <v>W</v>
      </c>
    </row>
    <row r="85" spans="1:5" ht="12.5" x14ac:dyDescent="0.25">
      <c r="A85" s="2" t="s">
        <v>86</v>
      </c>
      <c r="B85" s="7">
        <v>7</v>
      </c>
      <c r="C85" s="4" cm="1">
        <f t="array" ref="C85">_xlfn.IFS(E85&lt;="F",0,E85&lt;="M",1,E85&lt;="Z",2)</f>
        <v>2</v>
      </c>
      <c r="D85" s="5" cm="1">
        <f t="array" ref="D85">_xlfn.IFS(C85=$F$2,$G$2*(B85/$H$2),C85=$F$3,$G$2*(B85/$H$3),C85=$F$4,$G$2*(B85/$H$4))</f>
        <v>14</v>
      </c>
      <c r="E85" t="str">
        <f t="shared" si="1"/>
        <v>Y</v>
      </c>
    </row>
    <row r="86" spans="1:5" ht="12.5" x14ac:dyDescent="0.25">
      <c r="A86" s="2" t="s">
        <v>87</v>
      </c>
      <c r="B86" s="7">
        <v>8</v>
      </c>
      <c r="C86" s="4" cm="1">
        <f t="array" ref="C86">_xlfn.IFS(E86&lt;="F",0,E86&lt;="M",1,E86&lt;="Z",2)</f>
        <v>0</v>
      </c>
      <c r="D86" s="5" cm="1">
        <f t="array" ref="D86">_xlfn.IFS(C86=$F$2,$G$2*(B86/$H$2),C86=$F$3,$G$2*(B86/$H$3),C86=$F$4,$G$2*(B86/$H$4))</f>
        <v>32</v>
      </c>
      <c r="E86" t="str">
        <f t="shared" si="1"/>
        <v>A</v>
      </c>
    </row>
    <row r="87" spans="1:5" ht="12.5" x14ac:dyDescent="0.25">
      <c r="A87" s="2" t="s">
        <v>88</v>
      </c>
      <c r="B87" s="7">
        <v>9</v>
      </c>
      <c r="C87" s="4" cm="1">
        <f t="array" ref="C87">_xlfn.IFS(E87&lt;="F",0,E87&lt;="M",1,E87&lt;="Z",2)</f>
        <v>0</v>
      </c>
      <c r="D87" s="5" cm="1">
        <f t="array" ref="D87">_xlfn.IFS(C87=$F$2,$G$2*(B87/$H$2),C87=$F$3,$G$2*(B87/$H$3),C87=$F$4,$G$2*(B87/$H$4))</f>
        <v>36</v>
      </c>
      <c r="E87" t="str">
        <f t="shared" si="1"/>
        <v>C</v>
      </c>
    </row>
    <row r="88" spans="1:5" ht="12.5" x14ac:dyDescent="0.25">
      <c r="A88" s="2" t="s">
        <v>89</v>
      </c>
      <c r="B88" s="7">
        <v>10</v>
      </c>
      <c r="C88" s="4" cm="1">
        <f t="array" ref="C88">_xlfn.IFS(E88&lt;="F",0,E88&lt;="M",1,E88&lt;="Z",2)</f>
        <v>0</v>
      </c>
      <c r="D88" s="5" cm="1">
        <f t="array" ref="D88">_xlfn.IFS(C88=$F$2,$G$2*(B88/$H$2),C88=$F$3,$G$2*(B88/$H$3),C88=$F$4,$G$2*(B88/$H$4))</f>
        <v>40</v>
      </c>
      <c r="E88" t="str">
        <f t="shared" si="1"/>
        <v>E</v>
      </c>
    </row>
    <row r="89" spans="1:5" ht="12.5" x14ac:dyDescent="0.25">
      <c r="A89" s="2" t="s">
        <v>90</v>
      </c>
      <c r="B89" s="7">
        <v>0.5</v>
      </c>
      <c r="C89" s="4" cm="1">
        <f t="array" ref="C89">_xlfn.IFS(E89&lt;="F",0,E89&lt;="M",1,E89&lt;="Z",2)</f>
        <v>1</v>
      </c>
      <c r="D89" s="5" cm="1">
        <f t="array" ref="D89">_xlfn.IFS(C89=$F$2,$G$2*(B89/$H$2),C89=$F$3,$G$2*(B89/$H$3),C89=$F$4,$G$2*(B89/$H$4))</f>
        <v>2</v>
      </c>
      <c r="E89" t="str">
        <f t="shared" si="1"/>
        <v>G</v>
      </c>
    </row>
    <row r="90" spans="1:5" ht="12.5" x14ac:dyDescent="0.25">
      <c r="A90" s="2" t="s">
        <v>91</v>
      </c>
      <c r="B90" s="7">
        <v>1</v>
      </c>
      <c r="C90" s="4" cm="1">
        <f t="array" ref="C90">_xlfn.IFS(E90&lt;="F",0,E90&lt;="M",1,E90&lt;="Z",2)</f>
        <v>1</v>
      </c>
      <c r="D90" s="5" cm="1">
        <f t="array" ref="D90">_xlfn.IFS(C90=$F$2,$G$2*(B90/$H$2),C90=$F$3,$G$2*(B90/$H$3),C90=$F$4,$G$2*(B90/$H$4))</f>
        <v>4</v>
      </c>
      <c r="E90" t="str">
        <f t="shared" si="1"/>
        <v>I</v>
      </c>
    </row>
    <row r="91" spans="1:5" ht="12.5" x14ac:dyDescent="0.25">
      <c r="A91" s="2" t="s">
        <v>92</v>
      </c>
      <c r="B91" s="7">
        <v>2</v>
      </c>
      <c r="C91" s="4" cm="1">
        <f t="array" ref="C91">_xlfn.IFS(E91&lt;="F",0,E91&lt;="M",1,E91&lt;="Z",2)</f>
        <v>1</v>
      </c>
      <c r="D91" s="5" cm="1">
        <f t="array" ref="D91">_xlfn.IFS(C91=$F$2,$G$2*(B91/$H$2),C91=$F$3,$G$2*(B91/$H$3),C91=$F$4,$G$2*(B91/$H$4))</f>
        <v>8</v>
      </c>
      <c r="E91" t="str">
        <f t="shared" si="1"/>
        <v>K</v>
      </c>
    </row>
    <row r="92" spans="1:5" ht="12.5" x14ac:dyDescent="0.25">
      <c r="A92" s="2" t="s">
        <v>93</v>
      </c>
      <c r="B92" s="7">
        <v>3</v>
      </c>
      <c r="C92" s="4" cm="1">
        <f t="array" ref="C92">_xlfn.IFS(E92&lt;="F",0,E92&lt;="M",1,E92&lt;="Z",2)</f>
        <v>1</v>
      </c>
      <c r="D92" s="5" cm="1">
        <f t="array" ref="D92">_xlfn.IFS(C92=$F$2,$G$2*(B92/$H$2),C92=$F$3,$G$2*(B92/$H$3),C92=$F$4,$G$2*(B92/$H$4))</f>
        <v>12</v>
      </c>
      <c r="E92" t="str">
        <f t="shared" si="1"/>
        <v>M</v>
      </c>
    </row>
    <row r="93" spans="1:5" ht="12.5" x14ac:dyDescent="0.25">
      <c r="A93" s="2" t="s">
        <v>94</v>
      </c>
      <c r="B93" s="7">
        <v>4</v>
      </c>
      <c r="C93" s="4" cm="1">
        <f t="array" ref="C93">_xlfn.IFS(E93&lt;="F",0,E93&lt;="M",1,E93&lt;="Z",2)</f>
        <v>2</v>
      </c>
      <c r="D93" s="5" cm="1">
        <f t="array" ref="D93">_xlfn.IFS(C93=$F$2,$G$2*(B93/$H$2),C93=$F$3,$G$2*(B93/$H$3),C93=$F$4,$G$2*(B93/$H$4))</f>
        <v>8</v>
      </c>
      <c r="E93" t="str">
        <f t="shared" si="1"/>
        <v>O</v>
      </c>
    </row>
    <row r="94" spans="1:5" ht="12.5" x14ac:dyDescent="0.25">
      <c r="A94" s="2" t="s">
        <v>95</v>
      </c>
      <c r="B94" s="7">
        <v>5</v>
      </c>
      <c r="C94" s="4" cm="1">
        <f t="array" ref="C94">_xlfn.IFS(E94&lt;="F",0,E94&lt;="M",1,E94&lt;="Z",2)</f>
        <v>2</v>
      </c>
      <c r="D94" s="5" cm="1">
        <f t="array" ref="D94">_xlfn.IFS(C94=$F$2,$G$2*(B94/$H$2),C94=$F$3,$G$2*(B94/$H$3),C94=$F$4,$G$2*(B94/$H$4))</f>
        <v>10</v>
      </c>
      <c r="E94" t="str">
        <f t="shared" si="1"/>
        <v>Q</v>
      </c>
    </row>
    <row r="95" spans="1:5" ht="12.5" x14ac:dyDescent="0.25">
      <c r="A95" s="2" t="s">
        <v>96</v>
      </c>
      <c r="B95" s="7">
        <v>6</v>
      </c>
      <c r="C95" s="4" cm="1">
        <f t="array" ref="C95">_xlfn.IFS(E95&lt;="F",0,E95&lt;="M",1,E95&lt;="Z",2)</f>
        <v>2</v>
      </c>
      <c r="D95" s="5" cm="1">
        <f t="array" ref="D95">_xlfn.IFS(C95=$F$2,$G$2*(B95/$H$2),C95=$F$3,$G$2*(B95/$H$3),C95=$F$4,$G$2*(B95/$H$4))</f>
        <v>12</v>
      </c>
      <c r="E95" t="str">
        <f t="shared" si="1"/>
        <v>S</v>
      </c>
    </row>
    <row r="96" spans="1:5" ht="12.5" x14ac:dyDescent="0.25">
      <c r="A96" s="2" t="s">
        <v>97</v>
      </c>
      <c r="B96" s="7">
        <v>7</v>
      </c>
      <c r="C96" s="4" cm="1">
        <f t="array" ref="C96">_xlfn.IFS(E96&lt;="F",0,E96&lt;="M",1,E96&lt;="Z",2)</f>
        <v>2</v>
      </c>
      <c r="D96" s="5" cm="1">
        <f t="array" ref="D96">_xlfn.IFS(C96=$F$2,$G$2*(B96/$H$2),C96=$F$3,$G$2*(B96/$H$3),C96=$F$4,$G$2*(B96/$H$4))</f>
        <v>14</v>
      </c>
      <c r="E96" t="str">
        <f t="shared" si="1"/>
        <v>U</v>
      </c>
    </row>
    <row r="97" spans="1:5" ht="12.5" x14ac:dyDescent="0.25">
      <c r="A97" s="2" t="s">
        <v>98</v>
      </c>
      <c r="B97" s="7">
        <v>8</v>
      </c>
      <c r="C97" s="4" cm="1">
        <f t="array" ref="C97">_xlfn.IFS(E97&lt;="F",0,E97&lt;="M",1,E97&lt;="Z",2)</f>
        <v>2</v>
      </c>
      <c r="D97" s="5" cm="1">
        <f t="array" ref="D97">_xlfn.IFS(C97=$F$2,$G$2*(B97/$H$2),C97=$F$3,$G$2*(B97/$H$3),C97=$F$4,$G$2*(B97/$H$4))</f>
        <v>16</v>
      </c>
      <c r="E97" t="str">
        <f t="shared" si="1"/>
        <v>W</v>
      </c>
    </row>
    <row r="98" spans="1:5" ht="12.5" x14ac:dyDescent="0.25">
      <c r="A98" s="2" t="s">
        <v>99</v>
      </c>
      <c r="B98" s="7">
        <v>9</v>
      </c>
      <c r="C98" s="4" cm="1">
        <f t="array" ref="C98">_xlfn.IFS(E98&lt;="F",0,E98&lt;="M",1,E98&lt;="Z",2)</f>
        <v>2</v>
      </c>
      <c r="D98" s="5" cm="1">
        <f t="array" ref="D98">_xlfn.IFS(C98=$F$2,$G$2*(B98/$H$2),C98=$F$3,$G$2*(B98/$H$3),C98=$F$4,$G$2*(B98/$H$4))</f>
        <v>18</v>
      </c>
      <c r="E98" t="str">
        <f t="shared" si="1"/>
        <v>Y</v>
      </c>
    </row>
    <row r="99" spans="1:5" ht="12.5" x14ac:dyDescent="0.25">
      <c r="A99" s="2" t="s">
        <v>100</v>
      </c>
      <c r="B99" s="7">
        <v>10</v>
      </c>
      <c r="C99" s="4" cm="1">
        <f t="array" ref="C99">_xlfn.IFS(E99&lt;="F",0,E99&lt;="M",1,E99&lt;="Z",2)</f>
        <v>0</v>
      </c>
      <c r="D99" s="5" cm="1">
        <f t="array" ref="D99">_xlfn.IFS(C99=$F$2,$G$2*(B99/$H$2),C99=$F$3,$G$2*(B99/$H$3),C99=$F$4,$G$2*(B99/$H$4))</f>
        <v>40</v>
      </c>
      <c r="E99" t="str">
        <f t="shared" si="1"/>
        <v>A</v>
      </c>
    </row>
    <row r="100" spans="1:5" ht="12.5" x14ac:dyDescent="0.25">
      <c r="A100" s="2" t="s">
        <v>101</v>
      </c>
      <c r="B100" s="7">
        <v>0.5</v>
      </c>
      <c r="C100" s="4" cm="1">
        <f t="array" ref="C100">_xlfn.IFS(E100&lt;="F",0,E100&lt;="M",1,E100&lt;="Z",2)</f>
        <v>0</v>
      </c>
      <c r="D100" s="5" cm="1">
        <f t="array" ref="D100">_xlfn.IFS(C100=$F$2,$G$2*(B100/$H$2),C100=$F$3,$G$2*(B100/$H$3),C100=$F$4,$G$2*(B100/$H$4))</f>
        <v>2</v>
      </c>
      <c r="E100" t="str">
        <f t="shared" si="1"/>
        <v>C</v>
      </c>
    </row>
    <row r="101" spans="1:5" ht="12.5" x14ac:dyDescent="0.25">
      <c r="A101" s="2" t="s">
        <v>102</v>
      </c>
      <c r="B101" s="7">
        <v>1</v>
      </c>
      <c r="C101" s="4" cm="1">
        <f t="array" ref="C101">_xlfn.IFS(E101&lt;="F",0,E101&lt;="M",1,E101&lt;="Z",2)</f>
        <v>0</v>
      </c>
      <c r="D101" s="5" cm="1">
        <f t="array" ref="D101">_xlfn.IFS(C101=$F$2,$G$2*(B101/$H$2),C101=$F$3,$G$2*(B101/$H$3),C101=$F$4,$G$2*(B101/$H$4))</f>
        <v>4</v>
      </c>
      <c r="E101" t="str">
        <f t="shared" si="1"/>
        <v>E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G11" sqref="G11"/>
    </sheetView>
  </sheetViews>
  <sheetFormatPr defaultColWidth="12.6328125" defaultRowHeight="15.75" customHeight="1" x14ac:dyDescent="0.25"/>
  <cols>
    <col min="2" max="2" width="12.90625" customWidth="1"/>
    <col min="3" max="3" width="14" customWidth="1"/>
    <col min="4" max="4" width="16" customWidth="1"/>
    <col min="5" max="5" width="15.54296875" customWidth="1"/>
  </cols>
  <sheetData>
    <row r="1" spans="1:26" ht="14" x14ac:dyDescent="0.3">
      <c r="A1" s="8" t="s">
        <v>103</v>
      </c>
      <c r="B1" s="8" t="s">
        <v>104</v>
      </c>
      <c r="C1" s="8" t="s">
        <v>3</v>
      </c>
      <c r="D1" s="6" t="s">
        <v>113</v>
      </c>
      <c r="E1" s="6" t="s">
        <v>114</v>
      </c>
      <c r="F1" s="6" t="s">
        <v>3</v>
      </c>
      <c r="G1" s="6" t="s">
        <v>115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105</v>
      </c>
      <c r="B2" s="2">
        <v>55</v>
      </c>
      <c r="D2" t="str" cm="1">
        <f t="array" ref="D2:D6">_xlfn.UNIQUE(A2:A47)</f>
        <v>Mela</v>
      </c>
      <c r="E2">
        <f>COUNTIF($A$2:$A$47,D2)</f>
        <v>11</v>
      </c>
      <c r="G2">
        <f>SUMIF($A$2:$A$47,D2,$B$2:$B$47)</f>
        <v>525</v>
      </c>
    </row>
    <row r="3" spans="1:26" ht="15.75" customHeight="1" x14ac:dyDescent="0.25">
      <c r="A3" s="2" t="s">
        <v>106</v>
      </c>
      <c r="B3" s="2">
        <v>70</v>
      </c>
      <c r="C3" s="2">
        <v>80</v>
      </c>
      <c r="D3" t="str">
        <v>Banana</v>
      </c>
      <c r="E3">
        <f t="shared" ref="E3:E6" si="0">COUNTIF($A$2:$A$47,D3)</f>
        <v>14</v>
      </c>
      <c r="G3">
        <f t="shared" ref="G3:G6" si="1">SUMIF($A$2:$A$47,D3,$B$2:$B$47)</f>
        <v>755</v>
      </c>
    </row>
    <row r="4" spans="1:26" ht="15.75" customHeight="1" x14ac:dyDescent="0.25">
      <c r="A4" s="2" t="s">
        <v>107</v>
      </c>
      <c r="B4" s="2">
        <v>40</v>
      </c>
      <c r="C4" s="2">
        <v>60</v>
      </c>
      <c r="D4" t="str">
        <v>Arancia</v>
      </c>
      <c r="E4">
        <f t="shared" si="0"/>
        <v>11</v>
      </c>
      <c r="G4">
        <f t="shared" si="1"/>
        <v>555</v>
      </c>
    </row>
    <row r="5" spans="1:26" ht="15.75" customHeight="1" x14ac:dyDescent="0.25">
      <c r="A5" s="2" t="s">
        <v>105</v>
      </c>
      <c r="B5" s="2">
        <v>20</v>
      </c>
      <c r="C5" s="2">
        <v>100</v>
      </c>
      <c r="D5" t="str">
        <v>Pera</v>
      </c>
      <c r="E5">
        <f t="shared" si="0"/>
        <v>7</v>
      </c>
      <c r="G5">
        <f t="shared" si="1"/>
        <v>380</v>
      </c>
    </row>
    <row r="6" spans="1:26" ht="15.75" customHeight="1" x14ac:dyDescent="0.25">
      <c r="A6" s="2" t="s">
        <v>108</v>
      </c>
      <c r="B6" s="2">
        <v>90</v>
      </c>
      <c r="C6" s="2">
        <v>30</v>
      </c>
      <c r="D6" t="str">
        <v>Uva</v>
      </c>
      <c r="E6">
        <f t="shared" si="0"/>
        <v>3</v>
      </c>
      <c r="G6">
        <f t="shared" si="1"/>
        <v>160</v>
      </c>
    </row>
    <row r="7" spans="1:26" ht="15.75" customHeight="1" x14ac:dyDescent="0.25">
      <c r="A7" s="2" t="s">
        <v>106</v>
      </c>
      <c r="B7" s="2">
        <v>50</v>
      </c>
      <c r="C7" s="2">
        <v>40</v>
      </c>
    </row>
    <row r="8" spans="1:26" ht="15.75" customHeight="1" x14ac:dyDescent="0.25">
      <c r="A8" s="2" t="s">
        <v>107</v>
      </c>
      <c r="B8" s="2">
        <v>60</v>
      </c>
      <c r="C8" s="2">
        <v>55</v>
      </c>
    </row>
    <row r="9" spans="1:26" ht="15.75" customHeight="1" x14ac:dyDescent="0.25">
      <c r="A9" s="2" t="s">
        <v>105</v>
      </c>
      <c r="B9" s="2">
        <v>45</v>
      </c>
    </row>
    <row r="10" spans="1:26" ht="15.75" customHeight="1" x14ac:dyDescent="0.25">
      <c r="A10" s="2" t="s">
        <v>106</v>
      </c>
      <c r="B10" s="2">
        <v>25</v>
      </c>
      <c r="C10" s="2">
        <v>85</v>
      </c>
    </row>
    <row r="11" spans="1:26" ht="15.75" customHeight="1" x14ac:dyDescent="0.25">
      <c r="A11" s="2" t="s">
        <v>108</v>
      </c>
      <c r="B11" s="2">
        <v>35</v>
      </c>
      <c r="C11" s="2">
        <v>50</v>
      </c>
    </row>
    <row r="12" spans="1:26" ht="15.75" customHeight="1" x14ac:dyDescent="0.25">
      <c r="A12" s="2" t="s">
        <v>109</v>
      </c>
      <c r="B12" s="2">
        <v>60</v>
      </c>
      <c r="C12" s="2">
        <v>95</v>
      </c>
    </row>
    <row r="13" spans="1:26" ht="15.75" customHeight="1" x14ac:dyDescent="0.25">
      <c r="A13" s="2" t="s">
        <v>107</v>
      </c>
      <c r="B13" s="2">
        <v>80</v>
      </c>
    </row>
    <row r="14" spans="1:26" ht="15.75" customHeight="1" x14ac:dyDescent="0.25">
      <c r="A14" s="2" t="s">
        <v>106</v>
      </c>
      <c r="B14" s="2">
        <v>40</v>
      </c>
      <c r="C14" s="2">
        <v>45</v>
      </c>
    </row>
    <row r="15" spans="1:26" ht="15.75" customHeight="1" x14ac:dyDescent="0.25">
      <c r="A15" s="2" t="s">
        <v>105</v>
      </c>
      <c r="B15" s="2">
        <v>65</v>
      </c>
      <c r="C15" s="2">
        <v>65</v>
      </c>
    </row>
    <row r="16" spans="1:26" ht="15.75" customHeight="1" x14ac:dyDescent="0.25">
      <c r="A16" s="2" t="s">
        <v>107</v>
      </c>
      <c r="B16" s="2">
        <v>55</v>
      </c>
      <c r="C16" s="2">
        <v>30</v>
      </c>
    </row>
    <row r="17" spans="1:3" ht="15.75" customHeight="1" x14ac:dyDescent="0.25">
      <c r="A17" s="2" t="s">
        <v>108</v>
      </c>
      <c r="B17" s="2">
        <v>70</v>
      </c>
    </row>
    <row r="18" spans="1:3" ht="15.75" customHeight="1" x14ac:dyDescent="0.25">
      <c r="A18" s="2" t="s">
        <v>106</v>
      </c>
      <c r="B18" s="2">
        <v>45</v>
      </c>
      <c r="C18" s="2">
        <v>80</v>
      </c>
    </row>
    <row r="19" spans="1:3" ht="15.75" customHeight="1" x14ac:dyDescent="0.25">
      <c r="A19" s="2" t="s">
        <v>105</v>
      </c>
      <c r="B19" s="2">
        <v>25</v>
      </c>
      <c r="C19" s="2">
        <v>60</v>
      </c>
    </row>
    <row r="20" spans="1:3" ht="15.75" customHeight="1" x14ac:dyDescent="0.25">
      <c r="A20" s="2" t="s">
        <v>106</v>
      </c>
      <c r="B20" s="2">
        <v>35</v>
      </c>
    </row>
    <row r="21" spans="1:3" ht="15.75" customHeight="1" x14ac:dyDescent="0.25">
      <c r="A21" s="2" t="s">
        <v>107</v>
      </c>
      <c r="B21" s="2">
        <v>60</v>
      </c>
      <c r="C21" s="2">
        <v>30</v>
      </c>
    </row>
    <row r="22" spans="1:3" ht="12.5" x14ac:dyDescent="0.25">
      <c r="A22" s="2" t="s">
        <v>105</v>
      </c>
      <c r="B22" s="2">
        <v>70</v>
      </c>
      <c r="C22" s="2">
        <v>40</v>
      </c>
    </row>
    <row r="23" spans="1:3" ht="12.5" x14ac:dyDescent="0.25">
      <c r="A23" s="2" t="s">
        <v>106</v>
      </c>
      <c r="B23" s="2">
        <v>45</v>
      </c>
      <c r="C23" s="2">
        <v>55</v>
      </c>
    </row>
    <row r="24" spans="1:3" ht="12.5" x14ac:dyDescent="0.25">
      <c r="A24" s="2" t="s">
        <v>108</v>
      </c>
      <c r="B24" s="2">
        <v>25</v>
      </c>
      <c r="C24" s="2">
        <v>70</v>
      </c>
    </row>
    <row r="25" spans="1:3" ht="12.5" x14ac:dyDescent="0.25">
      <c r="A25" s="2" t="s">
        <v>109</v>
      </c>
      <c r="B25" s="2">
        <v>35</v>
      </c>
    </row>
    <row r="26" spans="1:3" ht="12.5" x14ac:dyDescent="0.25">
      <c r="A26" s="2" t="s">
        <v>107</v>
      </c>
      <c r="B26" s="2">
        <v>60</v>
      </c>
      <c r="C26" s="2">
        <v>50</v>
      </c>
    </row>
    <row r="27" spans="1:3" ht="12.5" x14ac:dyDescent="0.25">
      <c r="A27" s="2" t="s">
        <v>106</v>
      </c>
      <c r="B27" s="2">
        <v>80</v>
      </c>
      <c r="C27" s="2">
        <v>95</v>
      </c>
    </row>
    <row r="28" spans="1:3" ht="12.5" x14ac:dyDescent="0.25">
      <c r="A28" s="2" t="s">
        <v>105</v>
      </c>
      <c r="B28" s="2">
        <v>40</v>
      </c>
      <c r="C28" s="2">
        <v>75</v>
      </c>
    </row>
    <row r="29" spans="1:3" ht="12.5" x14ac:dyDescent="0.25">
      <c r="A29" s="2" t="s">
        <v>107</v>
      </c>
      <c r="B29" s="2">
        <v>65</v>
      </c>
      <c r="C29" s="2">
        <v>45</v>
      </c>
    </row>
    <row r="30" spans="1:3" ht="12.5" x14ac:dyDescent="0.25">
      <c r="A30" s="2" t="s">
        <v>106</v>
      </c>
      <c r="B30" s="2">
        <v>55</v>
      </c>
      <c r="C30" s="2">
        <v>65</v>
      </c>
    </row>
    <row r="31" spans="1:3" ht="12.5" x14ac:dyDescent="0.25">
      <c r="A31" s="2" t="s">
        <v>108</v>
      </c>
      <c r="B31" s="2">
        <v>70</v>
      </c>
      <c r="C31" s="2">
        <v>30</v>
      </c>
    </row>
    <row r="32" spans="1:3" ht="12.5" x14ac:dyDescent="0.25">
      <c r="A32" s="2" t="s">
        <v>105</v>
      </c>
      <c r="B32" s="2">
        <v>45</v>
      </c>
    </row>
    <row r="33" spans="1:3" ht="12.5" x14ac:dyDescent="0.25">
      <c r="A33" s="2" t="s">
        <v>106</v>
      </c>
      <c r="B33" s="2">
        <v>25</v>
      </c>
      <c r="C33" s="2">
        <v>80</v>
      </c>
    </row>
    <row r="34" spans="1:3" ht="12.5" x14ac:dyDescent="0.25">
      <c r="A34" s="2" t="s">
        <v>107</v>
      </c>
      <c r="B34" s="2">
        <v>35</v>
      </c>
      <c r="C34" s="2">
        <v>60</v>
      </c>
    </row>
    <row r="35" spans="1:3" ht="12.5" x14ac:dyDescent="0.25">
      <c r="A35" s="2" t="s">
        <v>105</v>
      </c>
      <c r="B35" s="2">
        <v>60</v>
      </c>
      <c r="C35" s="2">
        <v>100</v>
      </c>
    </row>
    <row r="36" spans="1:3" ht="12.5" x14ac:dyDescent="0.25">
      <c r="A36" s="2" t="s">
        <v>106</v>
      </c>
      <c r="B36" s="2">
        <v>80</v>
      </c>
      <c r="C36" s="2">
        <v>30</v>
      </c>
    </row>
    <row r="37" spans="1:3" ht="12.5" x14ac:dyDescent="0.25">
      <c r="A37" s="2" t="s">
        <v>108</v>
      </c>
      <c r="B37" s="2">
        <v>40</v>
      </c>
    </row>
    <row r="38" spans="1:3" ht="12.5" x14ac:dyDescent="0.25">
      <c r="A38" s="2" t="s">
        <v>109</v>
      </c>
      <c r="B38" s="2">
        <v>65</v>
      </c>
      <c r="C38" s="2">
        <v>55</v>
      </c>
    </row>
    <row r="39" spans="1:3" ht="12.5" x14ac:dyDescent="0.25">
      <c r="A39" s="2" t="s">
        <v>107</v>
      </c>
      <c r="B39" s="2">
        <v>55</v>
      </c>
      <c r="C39" s="2">
        <v>70</v>
      </c>
    </row>
    <row r="40" spans="1:3" ht="12.5" x14ac:dyDescent="0.25">
      <c r="A40" s="2" t="s">
        <v>106</v>
      </c>
      <c r="B40" s="2">
        <v>70</v>
      </c>
      <c r="C40" s="2">
        <v>85</v>
      </c>
    </row>
    <row r="41" spans="1:3" ht="12.5" x14ac:dyDescent="0.25">
      <c r="A41" s="2" t="s">
        <v>105</v>
      </c>
      <c r="B41" s="2">
        <v>40</v>
      </c>
      <c r="C41" s="2">
        <v>50</v>
      </c>
    </row>
    <row r="42" spans="1:3" ht="12.5" x14ac:dyDescent="0.25">
      <c r="A42" s="2" t="s">
        <v>107</v>
      </c>
      <c r="B42" s="2">
        <v>20</v>
      </c>
      <c r="C42" s="2">
        <v>95</v>
      </c>
    </row>
    <row r="43" spans="1:3" ht="12.5" x14ac:dyDescent="0.25">
      <c r="A43" s="2" t="s">
        <v>106</v>
      </c>
      <c r="B43" s="2">
        <v>90</v>
      </c>
      <c r="C43" s="2">
        <v>75</v>
      </c>
    </row>
    <row r="44" spans="1:3" ht="12.5" x14ac:dyDescent="0.25">
      <c r="A44" s="2" t="s">
        <v>108</v>
      </c>
      <c r="B44" s="2">
        <v>50</v>
      </c>
      <c r="C44" s="2">
        <v>45</v>
      </c>
    </row>
    <row r="45" spans="1:3" ht="12.5" x14ac:dyDescent="0.25">
      <c r="A45" s="2" t="s">
        <v>105</v>
      </c>
      <c r="B45" s="2">
        <v>60</v>
      </c>
      <c r="C45" s="2">
        <v>65</v>
      </c>
    </row>
    <row r="46" spans="1:3" ht="12.5" x14ac:dyDescent="0.25">
      <c r="A46" s="2" t="s">
        <v>106</v>
      </c>
      <c r="B46" s="2">
        <v>45</v>
      </c>
    </row>
    <row r="47" spans="1:3" ht="12.5" x14ac:dyDescent="0.2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Giulia Cerboni</cp:lastModifiedBy>
  <dcterms:modified xsi:type="dcterms:W3CDTF">2025-11-14T10:10:11Z</dcterms:modified>
</cp:coreProperties>
</file>